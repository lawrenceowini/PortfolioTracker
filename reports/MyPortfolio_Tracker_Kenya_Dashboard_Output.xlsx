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1" sheetId="1" state="visible" r:id="rId1"/>
    <sheet name="Holdings" sheetId="2" state="visible" r:id="rId2"/>
    <sheet name="Dividends" sheetId="3" state="visible" r:id="rId3"/>
    <sheet name="Performance History" sheetId="4" state="visible" r:id="rId4"/>
    <sheet name="NSE_Prices" sheetId="5" state="visible" r:id="rId5"/>
    <sheet name="Transactions" sheetId="6" state="visible" r:id="rId6"/>
    <sheet name="Portfolio_State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name val="Georgia"/>
      <b val="1"/>
      <color rgb="00F1E9CB"/>
      <sz val="16"/>
    </font>
    <font>
      <name val="Georgia"/>
      <b val="1"/>
      <color rgb="00F1E9CB"/>
    </font>
    <font>
      <name val="Georgia"/>
      <color rgb="002F332E"/>
    </font>
    <font>
      <name val="Georgia"/>
      <b val="1"/>
      <color rgb="00F1E9CB"/>
      <sz val="12"/>
    </font>
  </fonts>
  <fills count="6">
    <fill>
      <patternFill/>
    </fill>
    <fill>
      <patternFill patternType="gray125"/>
    </fill>
    <fill>
      <patternFill patternType="solid">
        <fgColor rgb="003B4436"/>
      </patternFill>
    </fill>
    <fill>
      <patternFill patternType="solid">
        <fgColor rgb="00E6DFD3"/>
      </patternFill>
    </fill>
    <fill>
      <patternFill patternType="solid">
        <fgColor rgb="00FDFBF7"/>
      </patternFill>
    </fill>
    <fill>
      <patternFill patternType="solid">
        <fgColor rgb="00EAECE6"/>
      </patternFill>
    </fill>
  </fills>
  <borders count="2">
    <border>
      <left/>
      <right/>
      <top/>
      <bottom/>
      <diagonal/>
    </border>
    <border>
      <left style="thin">
        <color rgb="00B8AA91"/>
      </left>
      <right style="thin">
        <color rgb="00B8AA91"/>
      </right>
      <top style="thin">
        <color rgb="00B8AA91"/>
      </top>
      <bottom style="thin">
        <color rgb="00B8AA9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Asset Allocation</a:t>
            </a:r>
          </a:p>
        </rich>
      </tx>
    </title>
    <plotArea>
      <pieChart>
        <varyColors val="1"/>
        <ser>
          <idx val="0"/>
          <order val="0"/>
          <tx>
            <strRef>
              <f>'Dashboard1'!C9</f>
            </strRef>
          </tx>
          <spPr>
            <a:ln>
              <a:prstDash val="solid"/>
            </a:ln>
          </spPr>
          <cat>
            <numRef>
              <f>'Dashboard1'!$A$10:$A$24</f>
            </numRef>
          </cat>
          <val>
            <numRef>
              <f>'Dashboard1'!$C$10:$C$24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Sector Allocation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'Dashboard1'!B27</f>
            </strRef>
          </tx>
          <spPr>
            <a:ln>
              <a:prstDash val="solid"/>
            </a:ln>
          </spPr>
          <cat>
            <numRef>
              <f>'Dashboard1'!$A$28:$A$34</f>
            </numRef>
          </cat>
          <val>
            <numRef>
              <f>'Dashboard1'!$B$28:$B$34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Allocation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46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8" customWidth="1" min="5" max="5"/>
    <col width="18" customWidth="1" min="6" max="6"/>
    <col width="22" customWidth="1" min="7" max="7"/>
    <col width="42" customWidth="1" min="8" max="8"/>
    <col width="18" customWidth="1" min="9" max="9"/>
    <col width="18" customWidth="1" min="10" max="10"/>
  </cols>
  <sheetData>
    <row r="1" ht="25" customHeight="1">
      <c r="A1" s="1" t="inlineStr">
        <is>
          <t>Portfolio Dashboard</t>
        </is>
      </c>
    </row>
    <row r="2" ht="18" customHeight="1"/>
    <row r="3" ht="18" customHeight="1">
      <c r="A3" s="2" t="inlineStr">
        <is>
          <t>Metric</t>
        </is>
      </c>
      <c r="B3" s="3" t="inlineStr">
        <is>
          <t>Value</t>
        </is>
      </c>
    </row>
    <row r="4" ht="18" customHeight="1">
      <c r="A4" s="4" t="inlineStr">
        <is>
          <t>Total Portfolio Value</t>
        </is>
      </c>
      <c r="B4" s="5" t="n">
        <v>25954263.69</v>
      </c>
    </row>
    <row r="5" ht="18" customHeight="1">
      <c r="A5" s="4" t="inlineStr">
        <is>
          <t>Number of Assets</t>
        </is>
      </c>
      <c r="B5" s="5" t="n">
        <v>15</v>
      </c>
    </row>
    <row r="6" ht="18" customHeight="1">
      <c r="A6" s="4" t="inlineStr">
        <is>
          <t>Number of Sectors</t>
        </is>
      </c>
      <c r="B6" s="5" t="n">
        <v>7</v>
      </c>
    </row>
    <row r="7" ht="18" customHeight="1"/>
    <row r="8" ht="18" customHeight="1"/>
    <row r="9" ht="18" customHeight="1">
      <c r="A9" s="2" t="inlineStr">
        <is>
          <t>Asset</t>
        </is>
      </c>
      <c r="B9" s="3" t="inlineStr">
        <is>
          <t>Market Value</t>
        </is>
      </c>
      <c r="C9" s="3" t="inlineStr">
        <is>
          <t>Asset Allocation %</t>
        </is>
      </c>
    </row>
    <row r="10" ht="18" customHeight="1">
      <c r="A10" s="6" t="inlineStr">
        <is>
          <t>Co-op Bank</t>
        </is>
      </c>
      <c r="B10" s="7" t="n">
        <v>1059300</v>
      </c>
      <c r="C10" s="8" t="n">
        <v>4.081410332623465</v>
      </c>
    </row>
    <row r="11" ht="18" customHeight="1">
      <c r="A11" s="9" t="inlineStr">
        <is>
          <t>Equity</t>
        </is>
      </c>
      <c r="B11" s="10" t="n">
        <v>1113750</v>
      </c>
      <c r="C11" s="11" t="n">
        <v>4.29120245252467</v>
      </c>
    </row>
    <row r="12" ht="18" customHeight="1">
      <c r="A12" s="6" t="inlineStr">
        <is>
          <t>KCB</t>
        </is>
      </c>
      <c r="B12" s="7" t="n">
        <v>1299375</v>
      </c>
      <c r="C12" s="8" t="n">
        <v>5.006402861278782</v>
      </c>
    </row>
    <row r="13" ht="18" customHeight="1">
      <c r="A13" s="9" t="inlineStr">
        <is>
          <t>NCBA</t>
        </is>
      </c>
      <c r="B13" s="10" t="n">
        <v>1277340</v>
      </c>
      <c r="C13" s="11" t="n">
        <v>4.921503515787083</v>
      </c>
    </row>
    <row r="14" ht="18" customHeight="1">
      <c r="A14" s="6" t="inlineStr">
        <is>
          <t>Safaricom</t>
        </is>
      </c>
      <c r="B14" s="7" t="n">
        <v>2452706.75</v>
      </c>
      <c r="C14" s="8" t="n">
        <v>9.450111085004547</v>
      </c>
    </row>
    <row r="15" ht="18" customHeight="1">
      <c r="A15" s="9" t="inlineStr">
        <is>
          <t>Jubilee</t>
        </is>
      </c>
      <c r="B15" s="10" t="n">
        <v>1698120</v>
      </c>
      <c r="C15" s="11" t="n">
        <v>6.542740030241251</v>
      </c>
    </row>
    <row r="16" ht="18" customHeight="1">
      <c r="A16" s="6" t="inlineStr">
        <is>
          <t>CIC</t>
        </is>
      </c>
      <c r="B16" s="7" t="n">
        <v>819547.2400000001</v>
      </c>
      <c r="C16" s="8" t="n">
        <v>3.157659372613087</v>
      </c>
    </row>
    <row r="17" ht="18" customHeight="1">
      <c r="A17" s="9" t="inlineStr">
        <is>
          <t>Britam</t>
        </is>
      </c>
      <c r="B17" s="10" t="n">
        <v>744211.5</v>
      </c>
      <c r="C17" s="11" t="n">
        <v>2.867395927270091</v>
      </c>
    </row>
    <row r="18" ht="18" customHeight="1">
      <c r="A18" s="6" t="inlineStr">
        <is>
          <t>KenGen</t>
        </is>
      </c>
      <c r="B18" s="7" t="n">
        <v>909263.9999999999</v>
      </c>
      <c r="C18" s="8" t="n">
        <v>3.503331902843898</v>
      </c>
    </row>
    <row r="19" ht="18" customHeight="1">
      <c r="A19" s="9" t="inlineStr">
        <is>
          <t>Kenya Power</t>
        </is>
      </c>
      <c r="B19" s="10" t="n">
        <v>1464784.2</v>
      </c>
      <c r="C19" s="11" t="n">
        <v>5.643713177516847</v>
      </c>
    </row>
    <row r="20" ht="18" customHeight="1">
      <c r="A20" s="6" t="inlineStr">
        <is>
          <t>Total Energies Marketing</t>
        </is>
      </c>
      <c r="B20" s="7" t="n">
        <v>1393708</v>
      </c>
      <c r="C20" s="8" t="n">
        <v>5.369861447993943</v>
      </c>
    </row>
    <row r="21" ht="18" customHeight="1">
      <c r="A21" s="9" t="inlineStr">
        <is>
          <t>VOO / IVV</t>
        </is>
      </c>
      <c r="B21" s="10" t="n">
        <v>2559858</v>
      </c>
      <c r="C21" s="11" t="n">
        <v>9.862957510855127</v>
      </c>
    </row>
    <row r="22" ht="18" customHeight="1">
      <c r="A22" s="6" t="inlineStr">
        <is>
          <t>VT</t>
        </is>
      </c>
      <c r="B22" s="7" t="n">
        <v>1112299</v>
      </c>
      <c r="C22" s="8" t="n">
        <v>4.285611848925467</v>
      </c>
    </row>
    <row r="23" ht="18" customHeight="1">
      <c r="A23" s="9" t="inlineStr">
        <is>
          <t>Treasury Bonds</t>
        </is>
      </c>
      <c r="B23" s="10" t="n">
        <v>6050000</v>
      </c>
      <c r="C23" s="11" t="n">
        <v>23.31023554457846</v>
      </c>
    </row>
    <row r="24" ht="18" customHeight="1">
      <c r="A24" s="6" t="inlineStr">
        <is>
          <t>Money Market Fund</t>
        </is>
      </c>
      <c r="B24" s="7" t="n">
        <v>2000000</v>
      </c>
      <c r="C24" s="8" t="n">
        <v>7.705862989943292</v>
      </c>
    </row>
    <row r="25" ht="18" customHeight="1"/>
    <row r="26" ht="18" customHeight="1"/>
    <row r="27" ht="18" customHeight="1">
      <c r="A27" s="2" t="inlineStr">
        <is>
          <t>Sector</t>
        </is>
      </c>
      <c r="B27" s="3" t="inlineStr">
        <is>
          <t>Allocation %</t>
        </is>
      </c>
    </row>
    <row r="28" ht="18" customHeight="1">
      <c r="A28" s="6" t="inlineStr">
        <is>
          <t>Banking</t>
        </is>
      </c>
      <c r="B28" s="8" t="n">
        <v>18.300519162214</v>
      </c>
    </row>
    <row r="29" ht="18" customHeight="1">
      <c r="A29" s="9" t="inlineStr">
        <is>
          <t>Cash</t>
        </is>
      </c>
      <c r="B29" s="11" t="n">
        <v>7.705862989943292</v>
      </c>
    </row>
    <row r="30" ht="18" customHeight="1">
      <c r="A30" s="6" t="inlineStr">
        <is>
          <t>ETF</t>
        </is>
      </c>
      <c r="B30" s="8" t="n">
        <v>14.14856935978059</v>
      </c>
    </row>
    <row r="31" ht="18" customHeight="1">
      <c r="A31" s="9" t="inlineStr">
        <is>
          <t>Energy</t>
        </is>
      </c>
      <c r="B31" s="11" t="n">
        <v>14.51690652835469</v>
      </c>
    </row>
    <row r="32" ht="18" customHeight="1">
      <c r="A32" s="6" t="inlineStr">
        <is>
          <t>Fixed Income</t>
        </is>
      </c>
      <c r="B32" s="8" t="n">
        <v>23.31023554457846</v>
      </c>
    </row>
    <row r="33" ht="18" customHeight="1">
      <c r="A33" s="9" t="inlineStr">
        <is>
          <t>Insurance</t>
        </is>
      </c>
      <c r="B33" s="11" t="n">
        <v>12.56779533012443</v>
      </c>
    </row>
    <row r="34" ht="18" customHeight="1">
      <c r="A34" s="6" t="inlineStr">
        <is>
          <t>Telecom</t>
        </is>
      </c>
      <c r="B34" s="8" t="n">
        <v>9.450111085004547</v>
      </c>
    </row>
    <row r="35" ht="18" customHeight="1"/>
    <row r="36" ht="18" customHeight="1"/>
    <row r="37" ht="18" customHeight="1">
      <c r="A37" s="2" t="inlineStr">
        <is>
          <t>Metric</t>
        </is>
      </c>
      <c r="B37" s="3" t="inlineStr">
        <is>
          <t>Value</t>
        </is>
      </c>
    </row>
    <row r="38" ht="18" customHeight="1">
      <c r="A38" s="6" t="inlineStr">
        <is>
          <t>Asset Limit</t>
        </is>
      </c>
      <c r="B38" s="12" t="inlineStr">
        <is>
          <t>Sector limit / asset count</t>
        </is>
      </c>
    </row>
    <row r="39" ht="18" customHeight="1">
      <c r="A39" s="9" t="inlineStr">
        <is>
          <t>Sector Limit</t>
        </is>
      </c>
      <c r="B39" s="13" t="inlineStr">
        <is>
          <t>20%</t>
        </is>
      </c>
    </row>
    <row r="40" ht="18" customHeight="1">
      <c r="A40" s="6" t="inlineStr">
        <is>
          <t>Single-Asset Cap</t>
        </is>
      </c>
      <c r="B40" s="12" t="inlineStr">
        <is>
          <t>10%</t>
        </is>
      </c>
    </row>
    <row r="41" ht="18" customHeight="1">
      <c r="A41" s="9" t="inlineStr">
        <is>
          <t>Asset Violations</t>
        </is>
      </c>
      <c r="B41" s="13" t="n">
        <v>1</v>
      </c>
    </row>
    <row r="42" ht="18" customHeight="1">
      <c r="A42" s="6" t="inlineStr">
        <is>
          <t>Sector Violations</t>
        </is>
      </c>
      <c r="B42" s="12" t="n">
        <v>0</v>
      </c>
    </row>
    <row r="43" ht="18" customHeight="1">
      <c r="A43" s="9" t="inlineStr">
        <is>
          <t>Diversification Score</t>
        </is>
      </c>
      <c r="B43" s="13" t="inlineStr">
        <is>
          <t>97 / 100</t>
        </is>
      </c>
    </row>
    <row r="44" ht="18" customHeight="1">
      <c r="A44" s="6" t="inlineStr">
        <is>
          <t>Risk Score</t>
        </is>
      </c>
      <c r="B44" s="12" t="inlineStr">
        <is>
          <t>Low</t>
        </is>
      </c>
    </row>
    <row r="45" ht="18" customHeight="1"/>
    <row r="46" ht="18" customHeight="1"/>
    <row r="47" ht="18" customHeight="1">
      <c r="A47" s="2" t="inlineStr">
        <is>
          <t>Asset</t>
        </is>
      </c>
      <c r="B47" s="3" t="inlineStr">
        <is>
          <t>Sector</t>
        </is>
      </c>
      <c r="C47" s="3" t="inlineStr">
        <is>
          <t>Asset Allocation %</t>
        </is>
      </c>
      <c r="D47" s="3" t="inlineStr">
        <is>
          <t>Asset Limit %</t>
        </is>
      </c>
      <c r="E47" s="3" t="inlineStr">
        <is>
          <t>Excess %</t>
        </is>
      </c>
    </row>
    <row r="48" ht="18" customHeight="1">
      <c r="A48" s="6" t="inlineStr">
        <is>
          <t>KCB</t>
        </is>
      </c>
      <c r="B48" s="12" t="inlineStr">
        <is>
          <t>Banking</t>
        </is>
      </c>
      <c r="C48" s="8" t="n">
        <v>5.006402861278782</v>
      </c>
      <c r="D48" s="8" t="n">
        <v>5</v>
      </c>
      <c r="E48" s="8" t="n">
        <v>0.00640286127878209</v>
      </c>
    </row>
    <row r="49" ht="18" customHeight="1"/>
    <row r="50" ht="18" customHeight="1">
      <c r="A50" t="inlineStr">
        <is>
          <t>Sector</t>
        </is>
      </c>
      <c r="B50" t="inlineStr">
        <is>
          <t>Sector Weight %</t>
        </is>
      </c>
      <c r="C50" t="inlineStr">
        <is>
          <t>Limit %</t>
        </is>
      </c>
      <c r="D50" t="inlineStr">
        <is>
          <t>Excess %</t>
        </is>
      </c>
    </row>
    <row r="51" ht="18" customHeight="1">
      <c r="A51" s="2" t="n"/>
      <c r="B51" s="3" t="n"/>
      <c r="C51" s="3" t="n"/>
      <c r="D51" s="3" t="n"/>
    </row>
    <row r="52" ht="18" customHeight="1"/>
    <row r="53" ht="18" customHeight="1">
      <c r="A53" s="14" t="inlineStr">
        <is>
          <t>Holistic Rebalance Suggestion</t>
        </is>
      </c>
    </row>
    <row r="54" ht="18" customHeight="1">
      <c r="A54" s="2" t="inlineStr">
        <is>
          <t>SELL</t>
        </is>
      </c>
      <c r="B54" s="3" t="inlineStr">
        <is>
          <t>KCB</t>
        </is>
      </c>
      <c r="C54" s="3" t="inlineStr">
        <is>
          <t>Banking</t>
        </is>
      </c>
      <c r="D54" s="3" t="n">
        <v>25</v>
      </c>
      <c r="E54" s="3" t="n">
        <v>68.75</v>
      </c>
      <c r="F54" s="3" t="n">
        <v>1718.75</v>
      </c>
      <c r="G54" s="15" t="inlineStr">
        <is>
          <t>Reduce asset/sector concentration</t>
        </is>
      </c>
    </row>
    <row r="55" ht="36" customHeight="1">
      <c r="A55" s="9" t="inlineStr">
        <is>
          <t>BUY</t>
        </is>
      </c>
      <c r="B55" s="13" t="inlineStr">
        <is>
          <t>Britam</t>
        </is>
      </c>
      <c r="C55" s="13" t="inlineStr">
        <is>
          <t>Insurance</t>
        </is>
      </c>
      <c r="D55" s="16" t="n">
        <v>136</v>
      </c>
      <c r="E55" s="10" t="n">
        <v>12.3</v>
      </c>
      <c r="F55" s="10" t="n">
        <v>1672.8</v>
      </c>
      <c r="G55" s="17" t="inlineStr">
        <is>
          <t>Redeploy proceeds into an under-limit asset</t>
        </is>
      </c>
    </row>
    <row r="56" ht="36" customHeight="1">
      <c r="A56" s="6" t="n"/>
      <c r="B56" s="12" t="n"/>
      <c r="C56" s="12" t="n"/>
      <c r="D56" s="18" t="n"/>
      <c r="E56" s="7" t="n"/>
      <c r="F56" s="7" t="n"/>
      <c r="G56" s="19" t="n"/>
    </row>
  </sheetData>
  <mergeCells count="2">
    <mergeCell ref="A1:C1"/>
    <mergeCell ref="A53:G5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14" customWidth="1" min="5" max="5"/>
    <col width="18" customWidth="1" min="6" max="6"/>
    <col width="16" customWidth="1" min="7" max="7"/>
    <col width="16" customWidth="1" min="8" max="8"/>
  </cols>
  <sheetData>
    <row r="1">
      <c r="A1" s="20" t="inlineStr">
        <is>
          <t>Asset</t>
        </is>
      </c>
      <c r="B1" s="15" t="inlineStr">
        <is>
          <t>Sector</t>
        </is>
      </c>
      <c r="C1" s="15" t="inlineStr">
        <is>
          <t>Target %</t>
        </is>
      </c>
      <c r="D1" s="15" t="inlineStr">
        <is>
          <t>Shares</t>
        </is>
      </c>
      <c r="E1" s="15" t="inlineStr">
        <is>
          <t>Shares Percentage</t>
        </is>
      </c>
      <c r="F1" s="15" t="inlineStr">
        <is>
          <t>Buy Price</t>
        </is>
      </c>
      <c r="G1" s="15" t="inlineStr">
        <is>
          <t>Current Price</t>
        </is>
      </c>
      <c r="H1" s="15" t="inlineStr">
        <is>
          <t>Cost Value</t>
        </is>
      </c>
      <c r="I1" s="15" t="inlineStr">
        <is>
          <t>Market Value</t>
        </is>
      </c>
      <c r="J1" s="15" t="inlineStr">
        <is>
          <t>Gain/Loss</t>
        </is>
      </c>
      <c r="K1" s="15" t="inlineStr">
        <is>
          <t>Ticker</t>
        </is>
      </c>
      <c r="L1" s="15" t="inlineStr">
        <is>
          <t>NSE Price</t>
        </is>
      </c>
      <c r="M1" s="15" t="inlineStr">
        <is>
          <t>Price Source</t>
        </is>
      </c>
      <c r="N1" s="15" t="inlineStr">
        <is>
          <t>Price Last Updated</t>
        </is>
      </c>
      <c r="O1" s="15" t="inlineStr">
        <is>
          <t>Asset Allocation %</t>
        </is>
      </c>
      <c r="P1" s="15" t="inlineStr">
        <is>
          <t>Average Return %</t>
        </is>
      </c>
    </row>
    <row r="2">
      <c r="A2" s="21" t="inlineStr">
        <is>
          <t>Co-op Bank</t>
        </is>
      </c>
      <c r="B2" s="19" t="inlineStr">
        <is>
          <t>Banking</t>
        </is>
      </c>
      <c r="C2" s="19" t="n">
        <v>5</v>
      </c>
      <c r="D2" s="22" t="n">
        <v>33000</v>
      </c>
      <c r="E2" s="19" t="n">
        <v>22.48106681607355</v>
      </c>
      <c r="F2" s="23" t="n">
        <v>32.1</v>
      </c>
      <c r="G2" s="23" t="n">
        <v>32.1</v>
      </c>
      <c r="H2" s="19" t="n">
        <v>1059300</v>
      </c>
      <c r="I2" s="23" t="n">
        <v>1059300</v>
      </c>
      <c r="J2" s="23" t="n">
        <v>66000</v>
      </c>
      <c r="K2" s="19" t="inlineStr">
        <is>
          <t>COOP</t>
        </is>
      </c>
      <c r="L2" s="19" t="n">
        <v>32.1</v>
      </c>
      <c r="M2" s="19" t="inlineStr">
        <is>
          <t>NSE live market data</t>
        </is>
      </c>
      <c r="N2" s="19" t="inlineStr">
        <is>
          <t>2026-06-01 16:27:07</t>
        </is>
      </c>
      <c r="O2" s="24" t="n">
        <v>4.081410332623465</v>
      </c>
      <c r="P2" s="24" t="n">
        <v>0</v>
      </c>
    </row>
    <row r="3">
      <c r="A3" s="25" t="inlineStr">
        <is>
          <t>Equity</t>
        </is>
      </c>
      <c r="B3" s="17" t="inlineStr">
        <is>
          <t>Banking</t>
        </is>
      </c>
      <c r="C3" s="17" t="n">
        <v>5</v>
      </c>
      <c r="D3" s="26" t="n">
        <v>15000</v>
      </c>
      <c r="E3" s="17" t="n">
        <v>23.63663567110537</v>
      </c>
      <c r="F3" s="27" t="n">
        <v>74.25</v>
      </c>
      <c r="G3" s="27" t="n">
        <v>74.25</v>
      </c>
      <c r="H3" s="17" t="n">
        <v>1113750</v>
      </c>
      <c r="I3" s="27" t="n">
        <v>1113750</v>
      </c>
      <c r="J3" s="27" t="n">
        <v>30000</v>
      </c>
      <c r="K3" s="17" t="inlineStr">
        <is>
          <t>EQTY</t>
        </is>
      </c>
      <c r="L3" s="17" t="n">
        <v>74.25</v>
      </c>
      <c r="M3" s="17" t="inlineStr">
        <is>
          <t>NSE live market data</t>
        </is>
      </c>
      <c r="N3" s="17" t="inlineStr">
        <is>
          <t>2026-06-01 16:27:07</t>
        </is>
      </c>
      <c r="O3" s="28" t="n">
        <v>4.29120245252467</v>
      </c>
      <c r="P3" s="28" t="n">
        <v>0</v>
      </c>
    </row>
    <row r="4">
      <c r="A4" s="21" t="inlineStr">
        <is>
          <t>KCB</t>
        </is>
      </c>
      <c r="B4" s="19" t="inlineStr">
        <is>
          <t>Banking</t>
        </is>
      </c>
      <c r="C4" s="19" t="n">
        <v>5</v>
      </c>
      <c r="D4" s="22" t="n">
        <v>18900</v>
      </c>
      <c r="E4" s="19" t="n">
        <v>26.77386186017936</v>
      </c>
      <c r="F4" s="23" t="n">
        <v>66.75</v>
      </c>
      <c r="G4" s="23" t="n">
        <v>68.75</v>
      </c>
      <c r="H4" s="19" t="n">
        <v>1261575</v>
      </c>
      <c r="I4" s="23" t="n">
        <v>1299375</v>
      </c>
      <c r="J4" s="23" t="n">
        <v>37800</v>
      </c>
      <c r="K4" s="19" t="inlineStr">
        <is>
          <t>KCB</t>
        </is>
      </c>
      <c r="L4" s="19" t="inlineStr"/>
      <c r="M4" s="19" t="inlineStr">
        <is>
          <t>NSE live market data unavailable</t>
        </is>
      </c>
      <c r="N4" s="19" t="inlineStr">
        <is>
          <t>2026-06-01 16:27:07</t>
        </is>
      </c>
      <c r="O4" s="24" t="n">
        <v>5.006402861278782</v>
      </c>
      <c r="P4" s="24" t="n">
        <v>2.99625468164794</v>
      </c>
    </row>
    <row r="5">
      <c r="A5" s="25" t="inlineStr">
        <is>
          <t>NCBA</t>
        </is>
      </c>
      <c r="B5" s="17" t="inlineStr">
        <is>
          <t>Banking</t>
        </is>
      </c>
      <c r="C5" s="17" t="n">
        <v>5</v>
      </c>
      <c r="D5" s="26" t="n">
        <v>14640</v>
      </c>
      <c r="E5" s="17" t="n">
        <v>27.10843565264173</v>
      </c>
      <c r="F5" s="27" t="n">
        <v>87.25</v>
      </c>
      <c r="G5" s="27" t="n">
        <v>87.25</v>
      </c>
      <c r="H5" s="17" t="n">
        <v>1277340</v>
      </c>
      <c r="I5" s="27" t="n">
        <v>1277340</v>
      </c>
      <c r="J5" s="27" t="n">
        <v>29280</v>
      </c>
      <c r="K5" s="17" t="inlineStr">
        <is>
          <t>NCBA</t>
        </is>
      </c>
      <c r="L5" s="17" t="n">
        <v>87.25</v>
      </c>
      <c r="M5" s="17" t="inlineStr">
        <is>
          <t>NSE live market data</t>
        </is>
      </c>
      <c r="N5" s="17" t="inlineStr">
        <is>
          <t>2026-06-01 16:27:07</t>
        </is>
      </c>
      <c r="O5" s="28" t="n">
        <v>4.921503515787083</v>
      </c>
      <c r="P5" s="28" t="n">
        <v>0</v>
      </c>
    </row>
    <row r="6">
      <c r="A6" s="21" t="inlineStr">
        <is>
          <t>Safaricom</t>
        </is>
      </c>
      <c r="B6" s="19" t="inlineStr">
        <is>
          <t>Telecom</t>
        </is>
      </c>
      <c r="C6" s="19" t="n">
        <v>10</v>
      </c>
      <c r="D6" s="22" t="n">
        <v>80285</v>
      </c>
      <c r="E6" s="19" t="n">
        <v>100</v>
      </c>
      <c r="F6" s="23" t="n">
        <v>30.55</v>
      </c>
      <c r="G6" s="23" t="n">
        <v>30.55</v>
      </c>
      <c r="H6" s="19" t="n">
        <v>2452706.75</v>
      </c>
      <c r="I6" s="23" t="n">
        <v>2452706.75</v>
      </c>
      <c r="J6" s="23" t="n">
        <v>160570</v>
      </c>
      <c r="K6" s="19" t="inlineStr">
        <is>
          <t>SCOM</t>
        </is>
      </c>
      <c r="L6" s="19" t="n">
        <v>30.55</v>
      </c>
      <c r="M6" s="19" t="inlineStr">
        <is>
          <t>NSE live market data</t>
        </is>
      </c>
      <c r="N6" s="19" t="inlineStr">
        <is>
          <t>2026-06-01 16:27:07</t>
        </is>
      </c>
      <c r="O6" s="24" t="n">
        <v>9.450111085004547</v>
      </c>
      <c r="P6" s="24" t="n">
        <v>0</v>
      </c>
    </row>
    <row r="7">
      <c r="A7" s="25" t="inlineStr">
        <is>
          <t>Jubilee</t>
        </is>
      </c>
      <c r="B7" s="17" t="inlineStr">
        <is>
          <t>Insurance</t>
        </is>
      </c>
      <c r="C7" s="17" t="n">
        <v>3.33</v>
      </c>
      <c r="D7" s="26" t="n">
        <v>4717</v>
      </c>
      <c r="E7" s="17" t="n">
        <v>51.5338195667909</v>
      </c>
      <c r="F7" s="27" t="n">
        <v>360</v>
      </c>
      <c r="G7" s="27" t="n">
        <v>360</v>
      </c>
      <c r="H7" s="17" t="n">
        <v>1698120</v>
      </c>
      <c r="I7" s="27" t="n">
        <v>1698120</v>
      </c>
      <c r="J7" s="27" t="n">
        <v>9434</v>
      </c>
      <c r="K7" s="17" t="inlineStr">
        <is>
          <t>JUB</t>
        </is>
      </c>
      <c r="L7" s="17" t="n">
        <v>360</v>
      </c>
      <c r="M7" s="17" t="inlineStr">
        <is>
          <t>NSE live market data</t>
        </is>
      </c>
      <c r="N7" s="17" t="inlineStr">
        <is>
          <t>2026-06-01 16:27:07</t>
        </is>
      </c>
      <c r="O7" s="28" t="n">
        <v>6.542740030241251</v>
      </c>
      <c r="P7" s="28" t="n">
        <v>0</v>
      </c>
    </row>
    <row r="8">
      <c r="A8" s="21" t="inlineStr">
        <is>
          <t>CIC</t>
        </is>
      </c>
      <c r="B8" s="19" t="inlineStr">
        <is>
          <t>Insurance</t>
        </is>
      </c>
      <c r="C8" s="19" t="n">
        <v>3.33</v>
      </c>
      <c r="D8" s="22" t="n">
        <v>195596</v>
      </c>
      <c r="E8" s="19" t="n">
        <v>24.87126916391155</v>
      </c>
      <c r="F8" s="23" t="n">
        <v>4.19</v>
      </c>
      <c r="G8" s="23" t="n">
        <v>4.19</v>
      </c>
      <c r="H8" s="19" t="n">
        <v>819547.2400000001</v>
      </c>
      <c r="I8" s="23" t="n">
        <v>819547.2400000001</v>
      </c>
      <c r="J8" s="23" t="n">
        <v>391191.9999999999</v>
      </c>
      <c r="K8" s="19" t="inlineStr">
        <is>
          <t>CIC</t>
        </is>
      </c>
      <c r="L8" s="19" t="n">
        <v>4.19</v>
      </c>
      <c r="M8" s="19" t="inlineStr">
        <is>
          <t>NSE live market data</t>
        </is>
      </c>
      <c r="N8" s="19" t="inlineStr">
        <is>
          <t>2026-06-01 16:27:07</t>
        </is>
      </c>
      <c r="O8" s="24" t="n">
        <v>3.157659372613087</v>
      </c>
      <c r="P8" s="24" t="n">
        <v>0</v>
      </c>
    </row>
    <row r="9">
      <c r="A9" s="25" t="inlineStr">
        <is>
          <t>Britam</t>
        </is>
      </c>
      <c r="B9" s="17" t="inlineStr">
        <is>
          <t>Insurance</t>
        </is>
      </c>
      <c r="C9" s="17" t="n">
        <v>3.34</v>
      </c>
      <c r="D9" s="26" t="n">
        <v>60505</v>
      </c>
      <c r="E9" s="17" t="n">
        <v>23.59491126929756</v>
      </c>
      <c r="F9" s="27" t="n">
        <v>12.85</v>
      </c>
      <c r="G9" s="27" t="n">
        <v>12.3</v>
      </c>
      <c r="H9" s="17" t="n">
        <v>777489.25</v>
      </c>
      <c r="I9" s="27" t="n">
        <v>744211.5</v>
      </c>
      <c r="J9" s="27" t="n">
        <v>121010</v>
      </c>
      <c r="K9" s="17" t="inlineStr">
        <is>
          <t>BRIT</t>
        </is>
      </c>
      <c r="L9" s="17" t="n">
        <v>12.3</v>
      </c>
      <c r="M9" s="17" t="inlineStr">
        <is>
          <t>NSE live market data</t>
        </is>
      </c>
      <c r="N9" s="17" t="inlineStr">
        <is>
          <t>2026-06-01 16:27:07</t>
        </is>
      </c>
      <c r="O9" s="28" t="n">
        <v>2.867395927270091</v>
      </c>
      <c r="P9" s="28" t="n">
        <v>-4.280155642023338</v>
      </c>
    </row>
    <row r="10">
      <c r="A10" s="21" t="inlineStr">
        <is>
          <t>KenGen</t>
        </is>
      </c>
      <c r="B10" s="19" t="inlineStr">
        <is>
          <t>Energy</t>
        </is>
      </c>
      <c r="C10" s="19" t="n">
        <v>3.33</v>
      </c>
      <c r="D10" s="22" t="n">
        <v>99700</v>
      </c>
      <c r="E10" s="19" t="n">
        <v>22.84421319169036</v>
      </c>
      <c r="F10" s="23" t="n">
        <v>9.18</v>
      </c>
      <c r="G10" s="23" t="n">
        <v>9.119999999999999</v>
      </c>
      <c r="H10" s="19" t="n">
        <v>915246</v>
      </c>
      <c r="I10" s="23" t="n">
        <v>909263.9999999999</v>
      </c>
      <c r="J10" s="23" t="n">
        <v>199400</v>
      </c>
      <c r="K10" s="19" t="inlineStr">
        <is>
          <t>KEGN</t>
        </is>
      </c>
      <c r="L10" s="19" t="n">
        <v>9.119999999999999</v>
      </c>
      <c r="M10" s="19" t="inlineStr">
        <is>
          <t>NSE live market data</t>
        </is>
      </c>
      <c r="N10" s="19" t="inlineStr">
        <is>
          <t>2026-06-01 16:27:07</t>
        </is>
      </c>
      <c r="O10" s="24" t="n">
        <v>3.503331902843898</v>
      </c>
      <c r="P10" s="24" t="n">
        <v>-0.6535947712418355</v>
      </c>
    </row>
    <row r="11">
      <c r="A11" s="25" t="inlineStr">
        <is>
          <t>Kenya Power</t>
        </is>
      </c>
      <c r="B11" s="17" t="inlineStr">
        <is>
          <t>Energy</t>
        </is>
      </c>
      <c r="C11" s="17" t="n">
        <v>3.33</v>
      </c>
      <c r="D11" s="26" t="n">
        <v>91836</v>
      </c>
      <c r="E11" s="17" t="n">
        <v>35.18517409201063</v>
      </c>
      <c r="F11" s="27" t="n">
        <v>15.35</v>
      </c>
      <c r="G11" s="27" t="n">
        <v>15.95</v>
      </c>
      <c r="H11" s="17" t="n">
        <v>1409682.6</v>
      </c>
      <c r="I11" s="27" t="n">
        <v>1464784.2</v>
      </c>
      <c r="J11" s="27" t="n">
        <v>183672.0000000002</v>
      </c>
      <c r="K11" s="17" t="inlineStr">
        <is>
          <t>KPLC</t>
        </is>
      </c>
      <c r="L11" s="17" t="n">
        <v>15.95</v>
      </c>
      <c r="M11" s="17" t="inlineStr">
        <is>
          <t>NSE live market data</t>
        </is>
      </c>
      <c r="N11" s="17" t="inlineStr">
        <is>
          <t>2026-06-01 16:27:07</t>
        </is>
      </c>
      <c r="O11" s="28" t="n">
        <v>5.643713177516847</v>
      </c>
      <c r="P11" s="28" t="n">
        <v>3.908794788273613</v>
      </c>
    </row>
    <row r="12">
      <c r="A12" s="21" t="inlineStr">
        <is>
          <t>Total Energies Marketing</t>
        </is>
      </c>
      <c r="B12" s="19" t="inlineStr">
        <is>
          <t>Energy</t>
        </is>
      </c>
      <c r="C12" s="19" t="n">
        <v>3.34</v>
      </c>
      <c r="D12" s="22" t="n">
        <v>30298</v>
      </c>
      <c r="E12" s="19" t="n">
        <v>41.97061271629902</v>
      </c>
      <c r="F12" s="23" t="n">
        <v>55.5</v>
      </c>
      <c r="G12" s="23" t="n">
        <v>46</v>
      </c>
      <c r="H12" s="19" t="n">
        <v>1681539</v>
      </c>
      <c r="I12" s="23" t="n">
        <v>1393708</v>
      </c>
      <c r="J12" s="23" t="n">
        <v>60596</v>
      </c>
      <c r="K12" s="19" t="inlineStr">
        <is>
          <t>TOTL</t>
        </is>
      </c>
      <c r="L12" s="19" t="n">
        <v>46</v>
      </c>
      <c r="M12" s="19" t="inlineStr">
        <is>
          <t>NSE live market data</t>
        </is>
      </c>
      <c r="N12" s="19" t="inlineStr">
        <is>
          <t>2026-06-01 16:27:07</t>
        </is>
      </c>
      <c r="O12" s="24" t="n">
        <v>5.369861447993943</v>
      </c>
      <c r="P12" s="24" t="n">
        <v>-17.11711711711712</v>
      </c>
    </row>
    <row r="13">
      <c r="A13" s="25" t="inlineStr">
        <is>
          <t>VOO / IVV</t>
        </is>
      </c>
      <c r="B13" s="17" t="inlineStr">
        <is>
          <t>ETF</t>
        </is>
      </c>
      <c r="C13" s="17" t="n">
        <v>10</v>
      </c>
      <c r="D13" s="26" t="n">
        <v>49</v>
      </c>
      <c r="E13" s="17" t="n">
        <v>69.71280262210075</v>
      </c>
      <c r="F13" s="27" t="n">
        <v>52240</v>
      </c>
      <c r="G13" s="27" t="n">
        <v>52242</v>
      </c>
      <c r="H13" s="17" t="n">
        <v>2559760</v>
      </c>
      <c r="I13" s="27" t="n">
        <v>2559858</v>
      </c>
      <c r="J13" s="27" t="n">
        <v>98</v>
      </c>
      <c r="K13" s="17" t="inlineStr"/>
      <c r="L13" s="17" t="inlineStr"/>
      <c r="M13" s="17" t="inlineStr">
        <is>
          <t>Manual / non-NSE</t>
        </is>
      </c>
      <c r="N13" s="17" t="inlineStr"/>
      <c r="O13" s="28" t="n">
        <v>9.862957510855127</v>
      </c>
      <c r="P13" s="28" t="n">
        <v>0.003828483920367535</v>
      </c>
    </row>
    <row r="14">
      <c r="A14" s="21" t="inlineStr">
        <is>
          <t>VT</t>
        </is>
      </c>
      <c r="B14" s="19" t="inlineStr">
        <is>
          <t>ETF</t>
        </is>
      </c>
      <c r="C14" s="19" t="n">
        <v>5</v>
      </c>
      <c r="D14" s="22" t="n">
        <v>97</v>
      </c>
      <c r="E14" s="19" t="n">
        <v>30.28719737789924</v>
      </c>
      <c r="F14" s="23" t="n">
        <v>11465</v>
      </c>
      <c r="G14" s="23" t="n">
        <v>11467</v>
      </c>
      <c r="H14" s="19" t="n">
        <v>1112105</v>
      </c>
      <c r="I14" s="23" t="n">
        <v>1112299</v>
      </c>
      <c r="J14" s="23" t="n">
        <v>194</v>
      </c>
      <c r="K14" s="19" t="inlineStr"/>
      <c r="L14" s="19" t="inlineStr"/>
      <c r="M14" s="19" t="inlineStr">
        <is>
          <t>Manual / non-NSE</t>
        </is>
      </c>
      <c r="N14" s="19" t="inlineStr"/>
      <c r="O14" s="24" t="n">
        <v>4.285611848925467</v>
      </c>
      <c r="P14" s="24" t="n">
        <v>0.01744439598778892</v>
      </c>
    </row>
    <row r="15">
      <c r="A15" s="25" t="inlineStr">
        <is>
          <t>Treasury Bonds</t>
        </is>
      </c>
      <c r="B15" s="17" t="inlineStr">
        <is>
          <t>Fixed Income</t>
        </is>
      </c>
      <c r="C15" s="17" t="n">
        <v>30</v>
      </c>
      <c r="D15" s="26" t="n">
        <v>121</v>
      </c>
      <c r="E15" s="17" t="n">
        <v>100</v>
      </c>
      <c r="F15" s="27" t="n">
        <v>50000</v>
      </c>
      <c r="G15" s="27" t="n">
        <v>50000</v>
      </c>
      <c r="H15" s="17" t="n">
        <v>6050000</v>
      </c>
      <c r="I15" s="27" t="n">
        <v>6050000</v>
      </c>
      <c r="J15" s="27" t="n">
        <v>0</v>
      </c>
      <c r="K15" s="17" t="inlineStr"/>
      <c r="L15" s="17" t="inlineStr"/>
      <c r="M15" s="17" t="inlineStr">
        <is>
          <t>Manual / non-NSE</t>
        </is>
      </c>
      <c r="N15" s="17" t="inlineStr"/>
      <c r="O15" s="28" t="n">
        <v>23.31023554457846</v>
      </c>
      <c r="P15" s="28" t="n">
        <v>0</v>
      </c>
    </row>
    <row r="16">
      <c r="A16" s="21" t="inlineStr">
        <is>
          <t>Money Market Fund</t>
        </is>
      </c>
      <c r="B16" s="19" t="inlineStr">
        <is>
          <t>Cash</t>
        </is>
      </c>
      <c r="C16" s="19" t="n">
        <v>5</v>
      </c>
      <c r="D16" s="22" t="n">
        <v>2</v>
      </c>
      <c r="E16" s="19" t="n">
        <v>100</v>
      </c>
      <c r="F16" s="23" t="n">
        <v>1000000</v>
      </c>
      <c r="G16" s="23" t="n">
        <v>1000000</v>
      </c>
      <c r="H16" s="19" t="n">
        <v>2000000</v>
      </c>
      <c r="I16" s="23" t="n">
        <v>2000000</v>
      </c>
      <c r="J16" s="23" t="n">
        <v>0</v>
      </c>
      <c r="K16" s="19" t="inlineStr"/>
      <c r="L16" s="19" t="inlineStr"/>
      <c r="M16" s="19" t="inlineStr">
        <is>
          <t>Manual / non-NSE</t>
        </is>
      </c>
      <c r="N16" s="19" t="inlineStr"/>
      <c r="O16" s="24" t="n">
        <v>7.705862989943292</v>
      </c>
      <c r="P16" s="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2" customWidth="1" min="4" max="4"/>
    <col width="18" customWidth="1" min="5" max="5"/>
    <col width="18" customWidth="1" min="6" max="6"/>
    <col width="18" customWidth="1" min="7" max="7"/>
  </cols>
  <sheetData>
    <row r="1">
      <c r="A1" s="20" t="inlineStr">
        <is>
          <t>Date</t>
        </is>
      </c>
      <c r="B1" s="15" t="inlineStr">
        <is>
          <t>Asset</t>
        </is>
      </c>
      <c r="C1" s="15" t="inlineStr">
        <is>
          <t>Dividend per Share</t>
        </is>
      </c>
      <c r="D1" s="15" t="inlineStr">
        <is>
          <t>Shares</t>
        </is>
      </c>
      <c r="E1" s="15" t="inlineStr">
        <is>
          <t>Total Dividend</t>
        </is>
      </c>
      <c r="F1" s="15" t="inlineStr">
        <is>
          <t>Annual Dividend</t>
        </is>
      </c>
      <c r="G1" s="15" t="inlineStr">
        <is>
          <t>Market Value</t>
        </is>
      </c>
      <c r="H1" s="15" t="inlineStr">
        <is>
          <t>Dividend Yield %</t>
        </is>
      </c>
    </row>
    <row r="2">
      <c r="A2" s="21" t="inlineStr"/>
      <c r="B2" s="19" t="inlineStr">
        <is>
          <t>Co-op</t>
        </is>
      </c>
      <c r="C2" s="23" t="inlineStr"/>
      <c r="D2" s="23" t="n">
        <v>33000</v>
      </c>
      <c r="E2" s="23" t="inlineStr"/>
      <c r="F2" s="23" t="n">
        <v>0</v>
      </c>
      <c r="G2" s="23" t="n">
        <v>1059300</v>
      </c>
      <c r="H2" s="19" t="n">
        <v>0</v>
      </c>
    </row>
    <row r="3">
      <c r="A3" s="25" t="inlineStr"/>
      <c r="B3" s="17" t="inlineStr">
        <is>
          <t>Equity</t>
        </is>
      </c>
      <c r="C3" s="27" t="inlineStr"/>
      <c r="D3" s="27" t="n">
        <v>15000</v>
      </c>
      <c r="E3" s="27" t="inlineStr"/>
      <c r="F3" s="27" t="n">
        <v>0</v>
      </c>
      <c r="G3" s="27" t="n">
        <v>1113750</v>
      </c>
      <c r="H3" s="17" t="n">
        <v>0</v>
      </c>
    </row>
    <row r="4">
      <c r="A4" s="21" t="inlineStr"/>
      <c r="B4" s="19" t="inlineStr">
        <is>
          <t>KCB</t>
        </is>
      </c>
      <c r="C4" s="23" t="inlineStr"/>
      <c r="D4" s="23" t="n">
        <v>18900</v>
      </c>
      <c r="E4" s="23" t="inlineStr"/>
      <c r="F4" s="23" t="n">
        <v>0</v>
      </c>
      <c r="G4" s="23" t="n">
        <v>1299375</v>
      </c>
      <c r="H4" s="19" t="n">
        <v>0</v>
      </c>
    </row>
    <row r="5">
      <c r="A5" s="25" t="inlineStr"/>
      <c r="B5" s="17" t="inlineStr">
        <is>
          <t>NCBA</t>
        </is>
      </c>
      <c r="C5" s="27" t="inlineStr"/>
      <c r="D5" s="27" t="n">
        <v>14640</v>
      </c>
      <c r="E5" s="27" t="inlineStr"/>
      <c r="F5" s="27" t="n">
        <v>0</v>
      </c>
      <c r="G5" s="27" t="n">
        <v>1277340</v>
      </c>
      <c r="H5" s="17" t="n">
        <v>0</v>
      </c>
    </row>
    <row r="6">
      <c r="A6" s="21" t="inlineStr"/>
      <c r="B6" s="19" t="inlineStr">
        <is>
          <t>Safaricom</t>
        </is>
      </c>
      <c r="C6" s="23" t="inlineStr"/>
      <c r="D6" s="23" t="n">
        <v>80285</v>
      </c>
      <c r="E6" s="23" t="inlineStr"/>
      <c r="F6" s="23" t="n">
        <v>0</v>
      </c>
      <c r="G6" s="23" t="n">
        <v>2452706.75</v>
      </c>
      <c r="H6" s="19" t="n">
        <v>0</v>
      </c>
    </row>
    <row r="7">
      <c r="A7" s="25" t="inlineStr"/>
      <c r="B7" s="17" t="inlineStr">
        <is>
          <t>Jubilee</t>
        </is>
      </c>
      <c r="C7" s="27" t="inlineStr"/>
      <c r="D7" s="27" t="n">
        <v>4717</v>
      </c>
      <c r="E7" s="27" t="inlineStr"/>
      <c r="F7" s="27" t="n">
        <v>0</v>
      </c>
      <c r="G7" s="27" t="n">
        <v>1698120</v>
      </c>
      <c r="H7" s="17" t="n">
        <v>0</v>
      </c>
    </row>
    <row r="8">
      <c r="A8" s="21" t="inlineStr"/>
      <c r="B8" s="19" t="inlineStr">
        <is>
          <t>CIC</t>
        </is>
      </c>
      <c r="C8" s="23" t="inlineStr"/>
      <c r="D8" s="23" t="n">
        <v>195596</v>
      </c>
      <c r="E8" s="23" t="inlineStr"/>
      <c r="F8" s="23" t="n">
        <v>0</v>
      </c>
      <c r="G8" s="23" t="n">
        <v>819547.2400000001</v>
      </c>
      <c r="H8" s="19" t="n">
        <v>0</v>
      </c>
    </row>
    <row r="9">
      <c r="A9" s="25" t="inlineStr"/>
      <c r="B9" s="17" t="inlineStr">
        <is>
          <t>Britam Holdings</t>
        </is>
      </c>
      <c r="C9" s="27" t="inlineStr"/>
      <c r="D9" s="27" t="n">
        <v>60505</v>
      </c>
      <c r="E9" s="27" t="inlineStr"/>
      <c r="F9" s="27" t="n">
        <v>0</v>
      </c>
      <c r="G9" s="27" t="n">
        <v>744211.5</v>
      </c>
      <c r="H9" s="17" t="n">
        <v>0</v>
      </c>
    </row>
    <row r="10">
      <c r="A10" s="21" t="inlineStr"/>
      <c r="B10" s="19" t="inlineStr">
        <is>
          <t>KenGen</t>
        </is>
      </c>
      <c r="C10" s="23" t="inlineStr"/>
      <c r="D10" s="23" t="n">
        <v>99700</v>
      </c>
      <c r="E10" s="23" t="inlineStr"/>
      <c r="F10" s="23" t="n">
        <v>0</v>
      </c>
      <c r="G10" s="23" t="n">
        <v>909263.9999999999</v>
      </c>
      <c r="H10" s="19" t="n">
        <v>0</v>
      </c>
    </row>
    <row r="11">
      <c r="A11" s="25" t="inlineStr"/>
      <c r="B11" s="17" t="inlineStr">
        <is>
          <t>KPLC</t>
        </is>
      </c>
      <c r="C11" s="27" t="inlineStr"/>
      <c r="D11" s="27" t="n">
        <v>91836</v>
      </c>
      <c r="E11" s="27" t="inlineStr"/>
      <c r="F11" s="27" t="n">
        <v>0</v>
      </c>
      <c r="G11" s="27" t="inlineStr"/>
      <c r="H11" s="17" t="n">
        <v>0</v>
      </c>
    </row>
    <row r="12">
      <c r="A12" s="21" t="inlineStr"/>
      <c r="B12" s="19" t="inlineStr">
        <is>
          <t>Total Energies</t>
        </is>
      </c>
      <c r="C12" s="23" t="inlineStr"/>
      <c r="D12" s="23" t="n">
        <v>30298</v>
      </c>
      <c r="E12" s="23" t="inlineStr"/>
      <c r="F12" s="23" t="n">
        <v>0</v>
      </c>
      <c r="G12" s="23" t="n">
        <v>1393708</v>
      </c>
      <c r="H12" s="19" t="n">
        <v>0</v>
      </c>
    </row>
    <row r="13">
      <c r="A13" s="25" t="inlineStr"/>
      <c r="B13" s="17" t="inlineStr">
        <is>
          <t>VOO/IVV</t>
        </is>
      </c>
      <c r="C13" s="27" t="inlineStr"/>
      <c r="D13" s="27" t="n">
        <v>49</v>
      </c>
      <c r="E13" s="27" t="inlineStr"/>
      <c r="F13" s="27" t="n">
        <v>0</v>
      </c>
      <c r="G13" s="27" t="n">
        <v>2559858</v>
      </c>
      <c r="H13" s="17" t="n">
        <v>0</v>
      </c>
    </row>
    <row r="14">
      <c r="A14" s="21" t="inlineStr"/>
      <c r="B14" s="19" t="inlineStr">
        <is>
          <t>VT</t>
        </is>
      </c>
      <c r="C14" s="23" t="inlineStr"/>
      <c r="D14" s="23" t="n">
        <v>97</v>
      </c>
      <c r="E14" s="23" t="inlineStr"/>
      <c r="F14" s="23" t="n">
        <v>0</v>
      </c>
      <c r="G14" s="23" t="n">
        <v>1112299</v>
      </c>
      <c r="H14" s="19" t="n">
        <v>0</v>
      </c>
    </row>
    <row r="15">
      <c r="A15" s="25" t="n"/>
      <c r="B15" s="17" t="n"/>
      <c r="C15" s="27" t="n"/>
      <c r="D15" s="27" t="n"/>
      <c r="E15" s="27" t="n"/>
      <c r="F15" s="27" t="n"/>
      <c r="G15" s="27" t="n"/>
      <c r="H15" s="17" t="n"/>
    </row>
    <row r="16">
      <c r="A16" s="21" t="n"/>
      <c r="B16" s="19" t="n"/>
      <c r="C16" s="23" t="n"/>
      <c r="D16" s="23" t="n"/>
      <c r="E16" s="23" t="n"/>
      <c r="F16" s="23" t="n"/>
      <c r="G16" s="23" t="n"/>
      <c r="H16" s="19" t="n"/>
    </row>
    <row r="17">
      <c r="A17" s="25" t="inlineStr">
        <is>
          <t>Metric</t>
        </is>
      </c>
      <c r="B17" s="17" t="inlineStr">
        <is>
          <t>Value</t>
        </is>
      </c>
      <c r="C17" s="27" t="n"/>
      <c r="D17" s="27" t="n"/>
      <c r="E17" s="27" t="n"/>
      <c r="F17" s="27" t="n"/>
      <c r="G17" s="27" t="n"/>
      <c r="H17" s="17" t="n"/>
    </row>
    <row r="18">
      <c r="A18" s="21" t="inlineStr">
        <is>
          <t>Total Annual Dividend</t>
        </is>
      </c>
      <c r="B18" s="19" t="n">
        <v>0</v>
      </c>
      <c r="C18" s="23" t="n"/>
      <c r="D18" s="23" t="n"/>
      <c r="E18" s="23" t="n"/>
      <c r="F18" s="23" t="n"/>
      <c r="G18" s="23" t="n"/>
      <c r="H18" s="19" t="n"/>
    </row>
    <row r="19">
      <c r="A19" s="25" t="inlineStr">
        <is>
          <t>Portfolio Dividend Yield %</t>
        </is>
      </c>
      <c r="B19" s="17" t="n">
        <v>0</v>
      </c>
      <c r="C19" s="27" t="n"/>
      <c r="D19" s="27" t="n"/>
      <c r="E19" s="27" t="n"/>
      <c r="F19" s="27" t="n"/>
      <c r="G19" s="27" t="n"/>
      <c r="H19" s="1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20" t="inlineStr">
        <is>
          <t>Date</t>
        </is>
      </c>
      <c r="B1" s="15" t="inlineStr">
        <is>
          <t>Portfolio Value</t>
        </is>
      </c>
      <c r="C1" s="15" t="inlineStr">
        <is>
          <t>Largest Asset</t>
        </is>
      </c>
      <c r="D1" s="15" t="inlineStr">
        <is>
          <t>Largest Sector</t>
        </is>
      </c>
    </row>
    <row r="2">
      <c r="A2" s="21" t="inlineStr">
        <is>
          <t>2026-06-01</t>
        </is>
      </c>
      <c r="B2" s="23" t="n">
        <v>25954263.69</v>
      </c>
      <c r="C2" s="23" t="inlineStr">
        <is>
          <t>Treasury Bonds (KES 6,050,000)</t>
        </is>
      </c>
      <c r="D2" s="23" t="inlineStr">
        <is>
          <t>Fixed Income (KES 6,050,000)</t>
        </is>
      </c>
    </row>
    <row r="3">
      <c r="A3" s="25" t="n"/>
      <c r="B3" s="27" t="n"/>
      <c r="C3" s="27" t="n"/>
      <c r="D3" s="27" t="n"/>
    </row>
    <row r="4">
      <c r="A4" s="21" t="n"/>
      <c r="B4" s="23" t="n"/>
      <c r="C4" s="23" t="n"/>
      <c r="D4" s="23" t="n"/>
    </row>
    <row r="5">
      <c r="A5" s="25" t="inlineStr">
        <is>
          <t>Month</t>
        </is>
      </c>
      <c r="B5" s="27" t="inlineStr">
        <is>
          <t>Return %</t>
        </is>
      </c>
      <c r="C5" s="27" t="n"/>
      <c r="D5" s="27" t="n"/>
    </row>
    <row r="6">
      <c r="A6" s="21" t="inlineStr">
        <is>
          <t>2026-06</t>
        </is>
      </c>
      <c r="B6" s="23" t="n">
        <v>0</v>
      </c>
      <c r="C6" s="23" t="n"/>
      <c r="D6" s="23" t="n"/>
    </row>
    <row r="7">
      <c r="A7" s="25" t="n"/>
      <c r="B7" s="27" t="n"/>
      <c r="C7" s="27" t="n"/>
      <c r="D7" s="27" t="n"/>
    </row>
    <row r="8">
      <c r="A8" s="21" t="n"/>
      <c r="B8" s="23" t="n"/>
      <c r="C8" s="23" t="n"/>
      <c r="D8" s="23" t="n"/>
    </row>
    <row r="9">
      <c r="A9" s="25" t="n"/>
      <c r="B9" s="27" t="n"/>
      <c r="C9" s="27" t="n"/>
      <c r="D9" s="27" t="n"/>
    </row>
    <row r="10">
      <c r="A10" s="21" t="inlineStr">
        <is>
          <t>Quarter</t>
        </is>
      </c>
      <c r="B10" s="23" t="inlineStr">
        <is>
          <t>Return %</t>
        </is>
      </c>
      <c r="C10" s="23" t="n"/>
      <c r="D10" s="23" t="n"/>
    </row>
    <row r="11">
      <c r="A11" s="25" t="inlineStr">
        <is>
          <t>2026Q2</t>
        </is>
      </c>
      <c r="B11" s="27" t="n">
        <v>0</v>
      </c>
      <c r="C11" s="27" t="n"/>
      <c r="D11" s="27" t="n"/>
    </row>
    <row r="12">
      <c r="A12" s="21" t="n"/>
      <c r="B12" s="23" t="n"/>
      <c r="C12" s="23" t="n"/>
      <c r="D12" s="23" t="n"/>
    </row>
    <row r="13">
      <c r="A13" s="25" t="n"/>
      <c r="B13" s="27" t="n"/>
      <c r="C13" s="27" t="n"/>
      <c r="D13" s="27" t="n"/>
    </row>
    <row r="14">
      <c r="A14" s="21" t="n"/>
      <c r="B14" s="23" t="n"/>
      <c r="C14" s="23" t="n"/>
      <c r="D14" s="23" t="n"/>
    </row>
    <row r="15">
      <c r="A15" s="25" t="inlineStr">
        <is>
          <t>Year</t>
        </is>
      </c>
      <c r="B15" s="27" t="inlineStr">
        <is>
          <t>Return %</t>
        </is>
      </c>
      <c r="C15" s="27" t="n"/>
      <c r="D15" s="27" t="n"/>
    </row>
    <row r="16">
      <c r="A16" s="21" t="inlineStr">
        <is>
          <t>2026</t>
        </is>
      </c>
      <c r="B16" s="23" t="n">
        <v>0</v>
      </c>
      <c r="C16" s="23" t="n"/>
      <c r="D16" s="2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4" customWidth="1" min="4" max="4"/>
    <col width="22" customWidth="1" min="5" max="5"/>
  </cols>
  <sheetData>
    <row r="1">
      <c r="A1" s="20" t="inlineStr">
        <is>
          <t>Asset</t>
        </is>
      </c>
      <c r="B1" s="15" t="inlineStr">
        <is>
          <t>Ticker</t>
        </is>
      </c>
      <c r="C1" s="15" t="inlineStr">
        <is>
          <t>NSE Price</t>
        </is>
      </c>
      <c r="D1" s="15" t="inlineStr">
        <is>
          <t>Price Source</t>
        </is>
      </c>
      <c r="E1" s="15" t="inlineStr">
        <is>
          <t>Last Updated</t>
        </is>
      </c>
    </row>
    <row r="2">
      <c r="A2" s="21" t="inlineStr">
        <is>
          <t>Co-op Bank</t>
        </is>
      </c>
      <c r="B2" s="19" t="inlineStr">
        <is>
          <t>COOP</t>
        </is>
      </c>
      <c r="C2" s="23" t="n">
        <v>32.1</v>
      </c>
      <c r="D2" s="19" t="inlineStr">
        <is>
          <t>NSE live market data</t>
        </is>
      </c>
      <c r="E2" s="19" t="inlineStr">
        <is>
          <t>2026-06-01 16:27:07</t>
        </is>
      </c>
    </row>
    <row r="3">
      <c r="A3" s="25" t="inlineStr">
        <is>
          <t>Equity</t>
        </is>
      </c>
      <c r="B3" s="17" t="inlineStr">
        <is>
          <t>EQTY</t>
        </is>
      </c>
      <c r="C3" s="27" t="n">
        <v>74.25</v>
      </c>
      <c r="D3" s="17" t="inlineStr">
        <is>
          <t>NSE live market data</t>
        </is>
      </c>
      <c r="E3" s="17" t="inlineStr">
        <is>
          <t>2026-06-01 16:27:07</t>
        </is>
      </c>
    </row>
    <row r="4">
      <c r="A4" s="21" t="inlineStr">
        <is>
          <t>KCB</t>
        </is>
      </c>
      <c r="B4" s="19" t="inlineStr">
        <is>
          <t>KCB</t>
        </is>
      </c>
      <c r="C4" s="23" t="n">
        <v>68.75</v>
      </c>
      <c r="D4" s="19" t="inlineStr">
        <is>
          <t>NSE live market data unavailable</t>
        </is>
      </c>
      <c r="E4" s="19" t="inlineStr">
        <is>
          <t>2026-06-01 16:27:07</t>
        </is>
      </c>
    </row>
    <row r="5">
      <c r="A5" s="25" t="inlineStr">
        <is>
          <t>NCBA</t>
        </is>
      </c>
      <c r="B5" s="17" t="inlineStr">
        <is>
          <t>NCBA</t>
        </is>
      </c>
      <c r="C5" s="27" t="n">
        <v>87.25</v>
      </c>
      <c r="D5" s="17" t="inlineStr">
        <is>
          <t>NSE live market data</t>
        </is>
      </c>
      <c r="E5" s="17" t="inlineStr">
        <is>
          <t>2026-06-01 16:27:07</t>
        </is>
      </c>
    </row>
    <row r="6">
      <c r="A6" s="21" t="inlineStr">
        <is>
          <t>Safaricom</t>
        </is>
      </c>
      <c r="B6" s="19" t="inlineStr">
        <is>
          <t>SCOM</t>
        </is>
      </c>
      <c r="C6" s="23" t="n">
        <v>30.55</v>
      </c>
      <c r="D6" s="19" t="inlineStr">
        <is>
          <t>NSE live market data</t>
        </is>
      </c>
      <c r="E6" s="19" t="inlineStr">
        <is>
          <t>2026-06-01 16:27:07</t>
        </is>
      </c>
    </row>
    <row r="7">
      <c r="A7" s="25" t="inlineStr">
        <is>
          <t>Jubilee</t>
        </is>
      </c>
      <c r="B7" s="17" t="inlineStr">
        <is>
          <t>JUB</t>
        </is>
      </c>
      <c r="C7" s="27" t="n">
        <v>360</v>
      </c>
      <c r="D7" s="17" t="inlineStr">
        <is>
          <t>NSE live market data</t>
        </is>
      </c>
      <c r="E7" s="17" t="inlineStr">
        <is>
          <t>2026-06-01 16:27:07</t>
        </is>
      </c>
    </row>
    <row r="8">
      <c r="A8" s="21" t="inlineStr">
        <is>
          <t>CIC</t>
        </is>
      </c>
      <c r="B8" s="19" t="inlineStr">
        <is>
          <t>CIC</t>
        </is>
      </c>
      <c r="C8" s="23" t="n">
        <v>4.19</v>
      </c>
      <c r="D8" s="19" t="inlineStr">
        <is>
          <t>NSE live market data</t>
        </is>
      </c>
      <c r="E8" s="19" t="inlineStr">
        <is>
          <t>2026-06-01 16:27:07</t>
        </is>
      </c>
    </row>
    <row r="9">
      <c r="A9" s="25" t="inlineStr">
        <is>
          <t>Britam</t>
        </is>
      </c>
      <c r="B9" s="17" t="inlineStr">
        <is>
          <t>BRIT</t>
        </is>
      </c>
      <c r="C9" s="27" t="n">
        <v>12.3</v>
      </c>
      <c r="D9" s="17" t="inlineStr">
        <is>
          <t>NSE live market data</t>
        </is>
      </c>
      <c r="E9" s="17" t="inlineStr">
        <is>
          <t>2026-06-01 16:27:07</t>
        </is>
      </c>
    </row>
    <row r="10">
      <c r="A10" s="21" t="inlineStr">
        <is>
          <t>KenGen</t>
        </is>
      </c>
      <c r="B10" s="19" t="inlineStr">
        <is>
          <t>KEGN</t>
        </is>
      </c>
      <c r="C10" s="23" t="n">
        <v>9.119999999999999</v>
      </c>
      <c r="D10" s="19" t="inlineStr">
        <is>
          <t>NSE live market data</t>
        </is>
      </c>
      <c r="E10" s="19" t="inlineStr">
        <is>
          <t>2026-06-01 16:27:07</t>
        </is>
      </c>
    </row>
    <row r="11">
      <c r="A11" s="25" t="inlineStr">
        <is>
          <t>Kenya Power</t>
        </is>
      </c>
      <c r="B11" s="17" t="inlineStr">
        <is>
          <t>KPLC</t>
        </is>
      </c>
      <c r="C11" s="27" t="n">
        <v>15.95</v>
      </c>
      <c r="D11" s="17" t="inlineStr">
        <is>
          <t>NSE live market data</t>
        </is>
      </c>
      <c r="E11" s="17" t="inlineStr">
        <is>
          <t>2026-06-01 16:27:07</t>
        </is>
      </c>
    </row>
    <row r="12">
      <c r="A12" s="21" t="inlineStr">
        <is>
          <t>Total Energies Marketing</t>
        </is>
      </c>
      <c r="B12" s="19" t="inlineStr">
        <is>
          <t>TOTL</t>
        </is>
      </c>
      <c r="C12" s="23" t="n">
        <v>46</v>
      </c>
      <c r="D12" s="19" t="inlineStr">
        <is>
          <t>NSE live market data</t>
        </is>
      </c>
      <c r="E12" s="19" t="inlineStr">
        <is>
          <t>2026-06-01 16:27:07</t>
        </is>
      </c>
    </row>
    <row r="13">
      <c r="A13" s="25" t="inlineStr">
        <is>
          <t>VOO / IVV</t>
        </is>
      </c>
      <c r="B13" s="17" t="inlineStr"/>
      <c r="C13" s="27" t="n">
        <v>52242</v>
      </c>
      <c r="D13" s="17" t="inlineStr">
        <is>
          <t>Manual / non-NSE</t>
        </is>
      </c>
      <c r="E13" s="17" t="inlineStr"/>
    </row>
    <row r="14">
      <c r="A14" s="21" t="inlineStr">
        <is>
          <t>VT</t>
        </is>
      </c>
      <c r="B14" s="19" t="inlineStr"/>
      <c r="C14" s="23" t="n">
        <v>11467</v>
      </c>
      <c r="D14" s="19" t="inlineStr">
        <is>
          <t>Manual / non-NSE</t>
        </is>
      </c>
      <c r="E14" s="19" t="inlineStr"/>
    </row>
    <row r="15">
      <c r="A15" s="25" t="inlineStr">
        <is>
          <t>Treasury Bonds</t>
        </is>
      </c>
      <c r="B15" s="17" t="inlineStr"/>
      <c r="C15" s="27" t="n">
        <v>50000</v>
      </c>
      <c r="D15" s="17" t="inlineStr">
        <is>
          <t>Manual / non-NSE</t>
        </is>
      </c>
      <c r="E15" s="17" t="inlineStr"/>
    </row>
    <row r="16">
      <c r="A16" s="21" t="inlineStr">
        <is>
          <t>Money Market Fund</t>
        </is>
      </c>
      <c r="B16" s="19" t="inlineStr"/>
      <c r="C16" s="23" t="n">
        <v>1000000</v>
      </c>
      <c r="D16" s="19" t="inlineStr">
        <is>
          <t>Manual / non-NSE</t>
        </is>
      </c>
      <c r="E16" s="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4" customWidth="1" min="4" max="4"/>
    <col width="14" customWidth="1" min="5" max="5"/>
    <col width="18" customWidth="1" min="6" max="6"/>
    <col width="12" customWidth="1" min="7" max="7"/>
    <col width="20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>
      <c r="A1" s="20" t="inlineStr">
        <is>
          <t>Date</t>
        </is>
      </c>
      <c r="B1" s="20" t="inlineStr">
        <is>
          <t>Asset</t>
        </is>
      </c>
      <c r="C1" s="20" t="inlineStr">
        <is>
          <t>Action</t>
        </is>
      </c>
      <c r="D1" s="15" t="inlineStr">
        <is>
          <t>Quantity</t>
        </is>
      </c>
      <c r="E1" s="15" t="inlineStr">
        <is>
          <t>Price</t>
        </is>
      </c>
      <c r="F1" s="20" t="inlineStr">
        <is>
          <t>Broker</t>
        </is>
      </c>
      <c r="G1" s="15" t="inlineStr">
        <is>
          <t>Fees</t>
        </is>
      </c>
      <c r="H1" s="20" t="inlineStr">
        <is>
          <t>Benefits</t>
        </is>
      </c>
      <c r="I1" s="15" t="inlineStr">
        <is>
          <t>Realized Gain</t>
        </is>
      </c>
      <c r="J1" s="15" t="inlineStr">
        <is>
          <t>Unrealized Gain</t>
        </is>
      </c>
      <c r="K1" s="15" t="inlineStr">
        <is>
          <t>Cost Basis</t>
        </is>
      </c>
      <c r="L1" s="15" t="inlineStr">
        <is>
          <t>Average Purchase Price</t>
        </is>
      </c>
      <c r="M1" s="15" t="inlineStr">
        <is>
          <t>Position Quantity</t>
        </is>
      </c>
    </row>
    <row r="2">
      <c r="A2" s="21" t="inlineStr">
        <is>
          <t>2026-06-01 16:27:25</t>
        </is>
      </c>
      <c r="B2" s="21" t="inlineStr">
        <is>
          <t>Co-op Bank</t>
        </is>
      </c>
      <c r="C2" s="21" t="inlineStr">
        <is>
          <t>OPENING</t>
        </is>
      </c>
      <c r="D2" s="23" t="n">
        <v>33000</v>
      </c>
      <c r="E2" s="23" t="n">
        <v>32.1</v>
      </c>
      <c r="F2" s="21" t="inlineStr"/>
      <c r="G2" s="23" t="n">
        <v>0</v>
      </c>
      <c r="H2" s="21" t="inlineStr">
        <is>
          <t>Opening balance</t>
        </is>
      </c>
      <c r="I2" s="23" t="n">
        <v>0</v>
      </c>
      <c r="J2" s="23" t="n">
        <v>0</v>
      </c>
      <c r="K2" s="23" t="n">
        <v>1059300</v>
      </c>
      <c r="L2" s="23" t="n">
        <v>32.1</v>
      </c>
      <c r="M2" s="23" t="n">
        <v>33000</v>
      </c>
    </row>
    <row r="3">
      <c r="A3" s="25" t="inlineStr">
        <is>
          <t>2026-06-01 16:27:25</t>
        </is>
      </c>
      <c r="B3" s="25" t="inlineStr">
        <is>
          <t>Equity</t>
        </is>
      </c>
      <c r="C3" s="25" t="inlineStr">
        <is>
          <t>OPENING</t>
        </is>
      </c>
      <c r="D3" s="27" t="n">
        <v>15000</v>
      </c>
      <c r="E3" s="27" t="n">
        <v>74.25</v>
      </c>
      <c r="F3" s="25" t="inlineStr"/>
      <c r="G3" s="27" t="n">
        <v>0</v>
      </c>
      <c r="H3" s="25" t="inlineStr">
        <is>
          <t>Opening balance</t>
        </is>
      </c>
      <c r="I3" s="27" t="n">
        <v>0</v>
      </c>
      <c r="J3" s="27" t="n">
        <v>0</v>
      </c>
      <c r="K3" s="27" t="n">
        <v>1113750</v>
      </c>
      <c r="L3" s="27" t="n">
        <v>74.25</v>
      </c>
      <c r="M3" s="27" t="n">
        <v>15000</v>
      </c>
    </row>
    <row r="4">
      <c r="A4" s="21" t="inlineStr">
        <is>
          <t>2026-06-01 16:27:25</t>
        </is>
      </c>
      <c r="B4" s="21" t="inlineStr">
        <is>
          <t>KCB</t>
        </is>
      </c>
      <c r="C4" s="21" t="inlineStr">
        <is>
          <t>OPENING</t>
        </is>
      </c>
      <c r="D4" s="23" t="n">
        <v>18900</v>
      </c>
      <c r="E4" s="23" t="n">
        <v>66.75</v>
      </c>
      <c r="F4" s="21" t="inlineStr"/>
      <c r="G4" s="23" t="n">
        <v>0</v>
      </c>
      <c r="H4" s="21" t="inlineStr">
        <is>
          <t>Opening balance</t>
        </is>
      </c>
      <c r="I4" s="23" t="n">
        <v>0</v>
      </c>
      <c r="J4" s="23" t="n">
        <v>37800</v>
      </c>
      <c r="K4" s="23" t="n">
        <v>1261575</v>
      </c>
      <c r="L4" s="23" t="n">
        <v>66.75</v>
      </c>
      <c r="M4" s="23" t="n">
        <v>18900</v>
      </c>
    </row>
    <row r="5">
      <c r="A5" s="25" t="inlineStr">
        <is>
          <t>2026-06-01 16:27:25</t>
        </is>
      </c>
      <c r="B5" s="25" t="inlineStr">
        <is>
          <t>NCBA</t>
        </is>
      </c>
      <c r="C5" s="25" t="inlineStr">
        <is>
          <t>OPENING</t>
        </is>
      </c>
      <c r="D5" s="27" t="n">
        <v>14640</v>
      </c>
      <c r="E5" s="27" t="n">
        <v>87.25</v>
      </c>
      <c r="F5" s="25" t="inlineStr"/>
      <c r="G5" s="27" t="n">
        <v>0</v>
      </c>
      <c r="H5" s="25" t="inlineStr">
        <is>
          <t>Opening balance</t>
        </is>
      </c>
      <c r="I5" s="27" t="n">
        <v>0</v>
      </c>
      <c r="J5" s="27" t="n">
        <v>0</v>
      </c>
      <c r="K5" s="27" t="n">
        <v>1277340</v>
      </c>
      <c r="L5" s="27" t="n">
        <v>87.25</v>
      </c>
      <c r="M5" s="27" t="n">
        <v>14640</v>
      </c>
    </row>
    <row r="6">
      <c r="A6" s="21" t="inlineStr">
        <is>
          <t>2026-06-01 16:27:25</t>
        </is>
      </c>
      <c r="B6" s="21" t="inlineStr">
        <is>
          <t>Safaricom</t>
        </is>
      </c>
      <c r="C6" s="21" t="inlineStr">
        <is>
          <t>OPENING</t>
        </is>
      </c>
      <c r="D6" s="23" t="n">
        <v>80285</v>
      </c>
      <c r="E6" s="23" t="n">
        <v>30.55</v>
      </c>
      <c r="F6" s="21" t="inlineStr"/>
      <c r="G6" s="23" t="n">
        <v>0</v>
      </c>
      <c r="H6" s="21" t="inlineStr">
        <is>
          <t>Opening balance</t>
        </is>
      </c>
      <c r="I6" s="23" t="n">
        <v>0</v>
      </c>
      <c r="J6" s="23" t="n">
        <v>0</v>
      </c>
      <c r="K6" s="23" t="n">
        <v>2452706.75</v>
      </c>
      <c r="L6" s="23" t="n">
        <v>30.55</v>
      </c>
      <c r="M6" s="23" t="n">
        <v>80285</v>
      </c>
    </row>
    <row r="7">
      <c r="A7" s="25" t="inlineStr">
        <is>
          <t>2026-06-01 16:27:25</t>
        </is>
      </c>
      <c r="B7" s="25" t="inlineStr">
        <is>
          <t>Jubilee</t>
        </is>
      </c>
      <c r="C7" s="25" t="inlineStr">
        <is>
          <t>OPENING</t>
        </is>
      </c>
      <c r="D7" s="27" t="n">
        <v>4717</v>
      </c>
      <c r="E7" s="27" t="n">
        <v>360</v>
      </c>
      <c r="F7" s="25" t="inlineStr"/>
      <c r="G7" s="27" t="n">
        <v>0</v>
      </c>
      <c r="H7" s="25" t="inlineStr">
        <is>
          <t>Opening balance</t>
        </is>
      </c>
      <c r="I7" s="27" t="n">
        <v>0</v>
      </c>
      <c r="J7" s="27" t="n">
        <v>0</v>
      </c>
      <c r="K7" s="27" t="n">
        <v>1698120</v>
      </c>
      <c r="L7" s="27" t="n">
        <v>360</v>
      </c>
      <c r="M7" s="27" t="n">
        <v>4717</v>
      </c>
    </row>
    <row r="8">
      <c r="A8" s="21" t="inlineStr">
        <is>
          <t>2026-06-01 16:27:25</t>
        </is>
      </c>
      <c r="B8" s="21" t="inlineStr">
        <is>
          <t>CIC</t>
        </is>
      </c>
      <c r="C8" s="21" t="inlineStr">
        <is>
          <t>OPENING</t>
        </is>
      </c>
      <c r="D8" s="23" t="n">
        <v>195596</v>
      </c>
      <c r="E8" s="23" t="n">
        <v>4.19</v>
      </c>
      <c r="F8" s="21" t="inlineStr"/>
      <c r="G8" s="23" t="n">
        <v>0</v>
      </c>
      <c r="H8" s="21" t="inlineStr">
        <is>
          <t>Opening balance</t>
        </is>
      </c>
      <c r="I8" s="23" t="n">
        <v>0</v>
      </c>
      <c r="J8" s="23" t="n">
        <v>0</v>
      </c>
      <c r="K8" s="23" t="n">
        <v>819547.2400000001</v>
      </c>
      <c r="L8" s="23" t="n">
        <v>4.19</v>
      </c>
      <c r="M8" s="23" t="n">
        <v>195596</v>
      </c>
    </row>
    <row r="9">
      <c r="A9" s="25" t="inlineStr">
        <is>
          <t>2026-06-01 16:27:25</t>
        </is>
      </c>
      <c r="B9" s="25" t="inlineStr">
        <is>
          <t>Britam</t>
        </is>
      </c>
      <c r="C9" s="25" t="inlineStr">
        <is>
          <t>OPENING</t>
        </is>
      </c>
      <c r="D9" s="27" t="n">
        <v>60505</v>
      </c>
      <c r="E9" s="27" t="n">
        <v>12.85</v>
      </c>
      <c r="F9" s="25" t="inlineStr"/>
      <c r="G9" s="27" t="n">
        <v>0</v>
      </c>
      <c r="H9" s="25" t="inlineStr">
        <is>
          <t>Opening balance</t>
        </is>
      </c>
      <c r="I9" s="27" t="n">
        <v>0</v>
      </c>
      <c r="J9" s="27" t="n">
        <v>-33277.75</v>
      </c>
      <c r="K9" s="27" t="n">
        <v>777489.25</v>
      </c>
      <c r="L9" s="27" t="n">
        <v>12.85</v>
      </c>
      <c r="M9" s="27" t="n">
        <v>60505</v>
      </c>
    </row>
    <row r="10">
      <c r="A10" s="21" t="inlineStr">
        <is>
          <t>2026-06-01 16:27:25</t>
        </is>
      </c>
      <c r="B10" s="21" t="inlineStr">
        <is>
          <t>KenGen</t>
        </is>
      </c>
      <c r="C10" s="21" t="inlineStr">
        <is>
          <t>OPENING</t>
        </is>
      </c>
      <c r="D10" s="23" t="n">
        <v>99700</v>
      </c>
      <c r="E10" s="23" t="n">
        <v>9.18</v>
      </c>
      <c r="F10" s="21" t="inlineStr"/>
      <c r="G10" s="23" t="n">
        <v>0</v>
      </c>
      <c r="H10" s="21" t="inlineStr">
        <is>
          <t>Opening balance</t>
        </is>
      </c>
      <c r="I10" s="23" t="n">
        <v>0</v>
      </c>
      <c r="J10" s="23" t="n">
        <v>-5982.000000000116</v>
      </c>
      <c r="K10" s="23" t="n">
        <v>915246</v>
      </c>
      <c r="L10" s="23" t="n">
        <v>9.18</v>
      </c>
      <c r="M10" s="23" t="n">
        <v>99700</v>
      </c>
    </row>
    <row r="11">
      <c r="A11" s="25" t="inlineStr">
        <is>
          <t>2026-06-01 16:27:25</t>
        </is>
      </c>
      <c r="B11" s="25" t="inlineStr">
        <is>
          <t>Kenya Power</t>
        </is>
      </c>
      <c r="C11" s="25" t="inlineStr">
        <is>
          <t>OPENING</t>
        </is>
      </c>
      <c r="D11" s="27" t="n">
        <v>91836</v>
      </c>
      <c r="E11" s="27" t="n">
        <v>15.35</v>
      </c>
      <c r="F11" s="25" t="inlineStr"/>
      <c r="G11" s="27" t="n">
        <v>0</v>
      </c>
      <c r="H11" s="25" t="inlineStr">
        <is>
          <t>Opening balance</t>
        </is>
      </c>
      <c r="I11" s="27" t="n">
        <v>0</v>
      </c>
      <c r="J11" s="27" t="n">
        <v>55101.60000000009</v>
      </c>
      <c r="K11" s="27" t="n">
        <v>1409682.6</v>
      </c>
      <c r="L11" s="27" t="n">
        <v>15.35</v>
      </c>
      <c r="M11" s="27" t="n">
        <v>91836</v>
      </c>
    </row>
    <row r="12">
      <c r="A12" s="21" t="inlineStr">
        <is>
          <t>2026-06-01 16:27:25</t>
        </is>
      </c>
      <c r="B12" s="21" t="inlineStr">
        <is>
          <t>Total Energies Marketing</t>
        </is>
      </c>
      <c r="C12" s="21" t="inlineStr">
        <is>
          <t>OPENING</t>
        </is>
      </c>
      <c r="D12" s="23" t="n">
        <v>30298</v>
      </c>
      <c r="E12" s="23" t="n">
        <v>55.5</v>
      </c>
      <c r="F12" s="21" t="inlineStr"/>
      <c r="G12" s="23" t="n">
        <v>0</v>
      </c>
      <c r="H12" s="21" t="inlineStr">
        <is>
          <t>Opening balance</t>
        </is>
      </c>
      <c r="I12" s="23" t="n">
        <v>0</v>
      </c>
      <c r="J12" s="23" t="n">
        <v>-287831</v>
      </c>
      <c r="K12" s="23" t="n">
        <v>1681539</v>
      </c>
      <c r="L12" s="23" t="n">
        <v>55.5</v>
      </c>
      <c r="M12" s="23" t="n">
        <v>30298</v>
      </c>
    </row>
    <row r="13">
      <c r="A13" s="25" t="inlineStr">
        <is>
          <t>2026-06-01 16:27:25</t>
        </is>
      </c>
      <c r="B13" s="25" t="inlineStr">
        <is>
          <t>VOO / IVV</t>
        </is>
      </c>
      <c r="C13" s="25" t="inlineStr">
        <is>
          <t>OPENING</t>
        </is>
      </c>
      <c r="D13" s="27" t="n">
        <v>49</v>
      </c>
      <c r="E13" s="27" t="n">
        <v>52240</v>
      </c>
      <c r="F13" s="25" t="inlineStr"/>
      <c r="G13" s="27" t="n">
        <v>0</v>
      </c>
      <c r="H13" s="25" t="inlineStr">
        <is>
          <t>Opening balance</t>
        </is>
      </c>
      <c r="I13" s="27" t="n">
        <v>0</v>
      </c>
      <c r="J13" s="27" t="n">
        <v>98</v>
      </c>
      <c r="K13" s="27" t="n">
        <v>2559760</v>
      </c>
      <c r="L13" s="27" t="n">
        <v>52240</v>
      </c>
      <c r="M13" s="27" t="n">
        <v>49</v>
      </c>
    </row>
    <row r="14">
      <c r="A14" s="21" t="inlineStr">
        <is>
          <t>2026-06-01 16:27:25</t>
        </is>
      </c>
      <c r="B14" s="21" t="inlineStr">
        <is>
          <t>VT</t>
        </is>
      </c>
      <c r="C14" s="21" t="inlineStr">
        <is>
          <t>OPENING</t>
        </is>
      </c>
      <c r="D14" s="23" t="n">
        <v>97</v>
      </c>
      <c r="E14" s="23" t="n">
        <v>11465</v>
      </c>
      <c r="F14" s="21" t="inlineStr"/>
      <c r="G14" s="23" t="n">
        <v>0</v>
      </c>
      <c r="H14" s="21" t="inlineStr">
        <is>
          <t>Opening balance</t>
        </is>
      </c>
      <c r="I14" s="23" t="n">
        <v>0</v>
      </c>
      <c r="J14" s="23" t="n">
        <v>194</v>
      </c>
      <c r="K14" s="23" t="n">
        <v>1112105</v>
      </c>
      <c r="L14" s="23" t="n">
        <v>11465</v>
      </c>
      <c r="M14" s="23" t="n">
        <v>97</v>
      </c>
    </row>
    <row r="15">
      <c r="A15" s="25" t="inlineStr">
        <is>
          <t>2026-06-01 16:27:25</t>
        </is>
      </c>
      <c r="B15" s="25" t="inlineStr">
        <is>
          <t>Treasury Bonds</t>
        </is>
      </c>
      <c r="C15" s="25" t="inlineStr">
        <is>
          <t>OPENING</t>
        </is>
      </c>
      <c r="D15" s="27" t="n">
        <v>121</v>
      </c>
      <c r="E15" s="27" t="n">
        <v>50000</v>
      </c>
      <c r="F15" s="25" t="inlineStr"/>
      <c r="G15" s="27" t="n">
        <v>0</v>
      </c>
      <c r="H15" s="25" t="inlineStr">
        <is>
          <t>Opening balance</t>
        </is>
      </c>
      <c r="I15" s="27" t="n">
        <v>0</v>
      </c>
      <c r="J15" s="27" t="n">
        <v>0</v>
      </c>
      <c r="K15" s="27" t="n">
        <v>6050000</v>
      </c>
      <c r="L15" s="27" t="n">
        <v>50000</v>
      </c>
      <c r="M15" s="27" t="n">
        <v>121</v>
      </c>
    </row>
    <row r="16">
      <c r="A16" s="21" t="inlineStr">
        <is>
          <t>2026-06-01 16:27:25</t>
        </is>
      </c>
      <c r="B16" s="21" t="inlineStr">
        <is>
          <t>Money Market Fund</t>
        </is>
      </c>
      <c r="C16" s="21" t="inlineStr">
        <is>
          <t>OPENING</t>
        </is>
      </c>
      <c r="D16" s="23" t="n">
        <v>2</v>
      </c>
      <c r="E16" s="23" t="n">
        <v>1000000</v>
      </c>
      <c r="F16" s="21" t="inlineStr"/>
      <c r="G16" s="23" t="n">
        <v>0</v>
      </c>
      <c r="H16" s="21" t="inlineStr">
        <is>
          <t>Opening balance</t>
        </is>
      </c>
      <c r="I16" s="23" t="n">
        <v>0</v>
      </c>
      <c r="J16" s="23" t="n">
        <v>0</v>
      </c>
      <c r="K16" s="23" t="n">
        <v>2000000</v>
      </c>
      <c r="L16" s="23" t="n">
        <v>1000000</v>
      </c>
      <c r="M16" s="2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Sector</t>
        </is>
      </c>
      <c r="C1" t="inlineStr">
        <is>
          <t>Shares</t>
        </is>
      </c>
      <c r="D1" t="inlineStr">
        <is>
          <t>Buy Price</t>
        </is>
      </c>
      <c r="E1" t="inlineStr">
        <is>
          <t>Current Price</t>
        </is>
      </c>
      <c r="F1" t="inlineStr">
        <is>
          <t>Market Value</t>
        </is>
      </c>
    </row>
    <row r="2">
      <c r="A2" t="inlineStr">
        <is>
          <t>Co-op Bank</t>
        </is>
      </c>
      <c r="B2" t="inlineStr">
        <is>
          <t>Banking</t>
        </is>
      </c>
      <c r="C2" t="n">
        <v>33000</v>
      </c>
      <c r="D2" t="n">
        <v>32.1</v>
      </c>
      <c r="E2" t="n">
        <v>32.1</v>
      </c>
      <c r="F2" t="n">
        <v>1059300</v>
      </c>
    </row>
    <row r="3">
      <c r="A3" t="inlineStr">
        <is>
          <t>Equity</t>
        </is>
      </c>
      <c r="B3" t="inlineStr">
        <is>
          <t>Banking</t>
        </is>
      </c>
      <c r="C3" t="n">
        <v>15000</v>
      </c>
      <c r="D3" t="n">
        <v>74.25</v>
      </c>
      <c r="E3" t="n">
        <v>74.25</v>
      </c>
      <c r="F3" t="n">
        <v>1113750</v>
      </c>
    </row>
    <row r="4">
      <c r="A4" t="inlineStr">
        <is>
          <t>KCB</t>
        </is>
      </c>
      <c r="B4" t="inlineStr">
        <is>
          <t>Banking</t>
        </is>
      </c>
      <c r="C4" t="n">
        <v>18900</v>
      </c>
      <c r="D4" t="n">
        <v>66.75</v>
      </c>
      <c r="E4" t="n">
        <v>68.75</v>
      </c>
      <c r="F4" t="n">
        <v>1299375</v>
      </c>
    </row>
    <row r="5">
      <c r="A5" t="inlineStr">
        <is>
          <t>NCBA</t>
        </is>
      </c>
      <c r="B5" t="inlineStr">
        <is>
          <t>Banking</t>
        </is>
      </c>
      <c r="C5" t="n">
        <v>14640</v>
      </c>
      <c r="D5" t="n">
        <v>87.25</v>
      </c>
      <c r="E5" t="n">
        <v>87.25</v>
      </c>
      <c r="F5" t="n">
        <v>1277340</v>
      </c>
    </row>
    <row r="6">
      <c r="A6" t="inlineStr">
        <is>
          <t>Safaricom</t>
        </is>
      </c>
      <c r="B6" t="inlineStr">
        <is>
          <t>Telecom</t>
        </is>
      </c>
      <c r="C6" t="n">
        <v>80285</v>
      </c>
      <c r="D6" t="n">
        <v>30.55</v>
      </c>
      <c r="E6" t="n">
        <v>30.55</v>
      </c>
      <c r="F6" t="n">
        <v>2452706.75</v>
      </c>
    </row>
    <row r="7">
      <c r="A7" t="inlineStr">
        <is>
          <t>Jubilee</t>
        </is>
      </c>
      <c r="B7" t="inlineStr">
        <is>
          <t>Insurance</t>
        </is>
      </c>
      <c r="C7" t="n">
        <v>4717</v>
      </c>
      <c r="D7" t="n">
        <v>360</v>
      </c>
      <c r="E7" t="n">
        <v>360</v>
      </c>
      <c r="F7" t="n">
        <v>1698120</v>
      </c>
    </row>
    <row r="8">
      <c r="A8" t="inlineStr">
        <is>
          <t>CIC</t>
        </is>
      </c>
      <c r="B8" t="inlineStr">
        <is>
          <t>Insurance</t>
        </is>
      </c>
      <c r="C8" t="n">
        <v>195596</v>
      </c>
      <c r="D8" t="n">
        <v>4.19</v>
      </c>
      <c r="E8" t="n">
        <v>4.19</v>
      </c>
      <c r="F8" t="n">
        <v>819547.2400000001</v>
      </c>
    </row>
    <row r="9">
      <c r="A9" t="inlineStr">
        <is>
          <t>Britam</t>
        </is>
      </c>
      <c r="B9" t="inlineStr">
        <is>
          <t>Insurance</t>
        </is>
      </c>
      <c r="C9" t="n">
        <v>60505</v>
      </c>
      <c r="D9" t="n">
        <v>12.85</v>
      </c>
      <c r="E9" t="n">
        <v>12.3</v>
      </c>
      <c r="F9" t="n">
        <v>744211.5</v>
      </c>
    </row>
    <row r="10">
      <c r="A10" t="inlineStr">
        <is>
          <t>KenGen</t>
        </is>
      </c>
      <c r="B10" t="inlineStr">
        <is>
          <t>Energy</t>
        </is>
      </c>
      <c r="C10" t="n">
        <v>99700</v>
      </c>
      <c r="D10" t="n">
        <v>9.18</v>
      </c>
      <c r="E10" t="n">
        <v>9.119999999999999</v>
      </c>
      <c r="F10" t="n">
        <v>909263.9999999999</v>
      </c>
    </row>
    <row r="11">
      <c r="A11" t="inlineStr">
        <is>
          <t>Kenya Power</t>
        </is>
      </c>
      <c r="B11" t="inlineStr">
        <is>
          <t>Energy</t>
        </is>
      </c>
      <c r="C11" t="n">
        <v>91836</v>
      </c>
      <c r="D11" t="n">
        <v>15.35</v>
      </c>
      <c r="E11" t="n">
        <v>15.95</v>
      </c>
      <c r="F11" t="n">
        <v>1464784.2</v>
      </c>
    </row>
    <row r="12">
      <c r="A12" t="inlineStr">
        <is>
          <t>Total Energies Marketing</t>
        </is>
      </c>
      <c r="B12" t="inlineStr">
        <is>
          <t>Energy</t>
        </is>
      </c>
      <c r="C12" t="n">
        <v>30298</v>
      </c>
      <c r="D12" t="n">
        <v>55.5</v>
      </c>
      <c r="E12" t="n">
        <v>46</v>
      </c>
      <c r="F12" t="n">
        <v>1393708</v>
      </c>
    </row>
    <row r="13">
      <c r="A13" t="inlineStr">
        <is>
          <t>VOO / IVV</t>
        </is>
      </c>
      <c r="B13" t="inlineStr">
        <is>
          <t>ETF</t>
        </is>
      </c>
      <c r="C13" t="n">
        <v>49</v>
      </c>
      <c r="D13" t="n">
        <v>52240</v>
      </c>
      <c r="E13" t="n">
        <v>52242</v>
      </c>
      <c r="F13" t="n">
        <v>2559858</v>
      </c>
    </row>
    <row r="14">
      <c r="A14" t="inlineStr">
        <is>
          <t>VT</t>
        </is>
      </c>
      <c r="B14" t="inlineStr">
        <is>
          <t>ETF</t>
        </is>
      </c>
      <c r="C14" t="n">
        <v>97</v>
      </c>
      <c r="D14" t="n">
        <v>11465</v>
      </c>
      <c r="E14" t="n">
        <v>11467</v>
      </c>
      <c r="F14" t="n">
        <v>1112299</v>
      </c>
    </row>
    <row r="15">
      <c r="A15" t="inlineStr">
        <is>
          <t>Treasury Bonds</t>
        </is>
      </c>
      <c r="B15" t="inlineStr">
        <is>
          <t>Fixed Income</t>
        </is>
      </c>
      <c r="C15" t="n">
        <v>121</v>
      </c>
      <c r="D15" t="n">
        <v>50000</v>
      </c>
      <c r="E15" t="n">
        <v>50000</v>
      </c>
      <c r="F15" t="n">
        <v>6050000</v>
      </c>
    </row>
    <row r="16">
      <c r="A16" t="inlineStr">
        <is>
          <t>Money Market Fund</t>
        </is>
      </c>
      <c r="B16" t="inlineStr">
        <is>
          <t>Cash</t>
        </is>
      </c>
      <c r="C16" t="n">
        <v>2</v>
      </c>
      <c r="D16" t="n">
        <v>1000000</v>
      </c>
      <c r="E16" t="n">
        <v>1000000</v>
      </c>
      <c r="F16" t="n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2026-06-01T13:27:30Z</dcterms:created>
  <dcterms:modified xsi:type="dcterms:W3CDTF">2026-06-01T13:27:32Z</dcterms:modified>
</cp:coreProperties>
</file>