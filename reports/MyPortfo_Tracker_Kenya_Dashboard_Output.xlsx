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21" documentId="11_09C9AF2A7231FE99B5EDE0B00038F1AF6A203683" xr6:coauthVersionLast="47" xr6:coauthVersionMax="47" xr10:uidLastSave="{009C43BD-FDCD-4A34-8991-7242B9BD4C1D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D14" i="3"/>
  <c r="D13" i="3"/>
  <c r="D12" i="3"/>
  <c r="D11" i="3"/>
  <c r="D10" i="3"/>
  <c r="D9" i="3"/>
  <c r="D8" i="3"/>
  <c r="D7" i="3"/>
  <c r="D6" i="3"/>
  <c r="D5" i="3"/>
  <c r="D4" i="3"/>
  <c r="D3" i="3"/>
  <c r="D2" i="3"/>
  <c r="C40" i="2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G23" i="2"/>
  <c r="I23" i="2" s="1"/>
  <c r="J23" i="2" s="1"/>
  <c r="H20" i="2"/>
  <c r="E20" i="2" s="1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J13" i="2" l="1"/>
  <c r="C39" i="2"/>
  <c r="E24" i="2"/>
  <c r="C35" i="2"/>
  <c r="E19" i="2"/>
  <c r="E18" i="2"/>
  <c r="E14" i="2"/>
  <c r="E13" i="2"/>
  <c r="E10" i="2"/>
  <c r="C36" i="2"/>
  <c r="E7" i="2"/>
  <c r="E6" i="2"/>
  <c r="E5" i="2"/>
  <c r="E4" i="2"/>
  <c r="C37" i="2"/>
  <c r="C45" i="2" s="1"/>
  <c r="J14" i="2"/>
  <c r="C20" i="1"/>
  <c r="C22" i="1"/>
  <c r="C21" i="1"/>
  <c r="C43" i="2" l="1"/>
  <c r="C19" i="1" s="1"/>
  <c r="C31" i="1"/>
  <c r="D11" i="1" s="1"/>
  <c r="E11" i="1" s="1"/>
  <c r="D37" i="2"/>
  <c r="D40" i="2"/>
  <c r="D20" i="1" s="1"/>
  <c r="D4" i="1" s="1"/>
  <c r="E4" i="1" s="1"/>
  <c r="D35" i="2"/>
  <c r="D36" i="2"/>
  <c r="D41" i="2"/>
  <c r="D22" i="1" s="1"/>
  <c r="D6" i="1" s="1"/>
  <c r="E6" i="1" s="1"/>
  <c r="D39" i="2"/>
  <c r="D21" i="1" s="1"/>
  <c r="D5" i="1" s="1"/>
  <c r="E5" i="1" s="1"/>
  <c r="D38" i="2"/>
  <c r="D19" i="1" l="1"/>
  <c r="D3" i="1" s="1"/>
  <c r="E3" i="1" s="1"/>
  <c r="C30" i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<sst xmlns="http://schemas.openxmlformats.org/spreadsheetml/2006/main" count="121" uniqueCount="63">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</sst>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0" fillId="6" borderId="0" xfId="0" applyFill="1"/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32.572021560427316</c:v>
                </c:pt>
                <c:pt idx="1">
                  <c:v>16.954628725469227</c:v>
                </c:pt>
                <c:pt idx="2">
                  <c:v>22.778163300716795</c:v>
                </c:pt>
                <c:pt idx="3">
                  <c:v>27.695186413386665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55.239831190833634</c:v>
                </c:pt>
                <c:pt idx="1">
                  <c:v>23.10204231966982</c:v>
                </c:pt>
                <c:pt idx="2">
                  <c:v>14.021087706134615</c:v>
                </c:pt>
                <c:pt idx="3">
                  <c:v>7.6370387833619242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17.992729725421984</c:v>
                </c:pt>
                <c:pt idx="1">
                  <c:v>9.3657082869817909</c:v>
                </c:pt>
                <c:pt idx="2">
                  <c:v>12.582618955688377</c:v>
                </c:pt>
                <c:pt idx="3">
                  <c:v>15.298774222741486</c:v>
                </c:pt>
                <c:pt idx="4">
                  <c:v>14.021087706134615</c:v>
                </c:pt>
                <c:pt idx="5">
                  <c:v>23.10204231966982</c:v>
                </c:pt>
                <c:pt idx="6">
                  <c:v>7.6370387833619242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2" zoomScale="85" zoomScaleNormal="85" workbookViewId="0">
      <selection activeCell="D26" sqref="D26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55.239831190833634</v>
      </c>
      <c r="E3" s="27">
        <f>D3-C3</f>
        <v>5.2398311908336339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23.10204231966982</v>
      </c>
      <c r="E4" s="27">
        <f>D4-C4</f>
        <v>-6.8979576803301796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14.021087706134615</v>
      </c>
      <c r="E5" s="27">
        <f>D5-C5</f>
        <v>-0.9789122938653847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7.6370387833619242</v>
      </c>
      <c r="E6" s="27">
        <f>D6-C6</f>
        <v>2.6370387833619242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32.572021560427316</v>
      </c>
      <c r="E9" s="27">
        <f>D9-C9</f>
        <v>2.5720215604273164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16.954628725469227</v>
      </c>
      <c r="E10" s="27">
        <f>D10-C10</f>
        <v>-3.0453712745307726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22.778163300716795</v>
      </c>
      <c r="E11" s="27">
        <f>D11-C11</f>
        <v>2.7781633007167947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27.695186413386665</v>
      </c>
      <c r="E12" s="27">
        <f>D12-C12</f>
        <v>-2.304813586613335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61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14466295.84</v>
      </c>
      <c r="D19" s="27">
        <f>SUM(Holdings!D35:'Holdings'!D38)</f>
        <v>55.239831190833634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6050000</v>
      </c>
      <c r="D20" s="40">
        <f>Holdings!D40</f>
        <v>23.10204231966982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3671865</v>
      </c>
      <c r="D21" s="27">
        <f>Holdings!D39</f>
        <v>14.021087706134615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7.6370387833619242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32.572021560427316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16.954628725469227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22.778163300716795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27.695186413386665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topLeftCell="A4" zoomScale="80" zoomScaleNormal="80" workbookViewId="0">
      <selection activeCell="D16" sqref="D16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3" t="s">
        <v>18</v>
      </c>
      <c r="B1" s="54"/>
      <c r="C1" s="55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6" t="s">
        <v>10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33000</v>
      </c>
      <c r="E4" s="22">
        <f>H4/(SUM(H4:H7))*100</f>
        <v>22.48106681607355</v>
      </c>
      <c r="F4" s="9">
        <v>32.1</v>
      </c>
      <c r="G4" s="9">
        <f>F4+2</f>
        <v>34.1</v>
      </c>
      <c r="H4" s="9">
        <f>D4*F4</f>
        <v>1059300</v>
      </c>
      <c r="I4" s="10">
        <f>D4*G4</f>
        <v>1125300</v>
      </c>
      <c r="J4" s="10">
        <f>I4-H4</f>
        <v>66000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15000</v>
      </c>
      <c r="E5" s="22">
        <f>H5/(SUM(H4:H7))*100</f>
        <v>23.636635671105367</v>
      </c>
      <c r="F5" s="11">
        <v>74.25</v>
      </c>
      <c r="G5" s="9">
        <f>F5+2</f>
        <v>76.25</v>
      </c>
      <c r="H5" s="11">
        <f>D5*F5</f>
        <v>1113750</v>
      </c>
      <c r="I5" s="10">
        <f>D5*G5</f>
        <v>1143750</v>
      </c>
      <c r="J5" s="10">
        <f>I5-H5</f>
        <v>30000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18900</v>
      </c>
      <c r="E6" s="22">
        <f>H6/(SUM(H4:H7))*100</f>
        <v>26.773861860179355</v>
      </c>
      <c r="F6" s="9">
        <v>66.75</v>
      </c>
      <c r="G6" s="9">
        <f>F6+2</f>
        <v>68.75</v>
      </c>
      <c r="H6" s="9">
        <f>D6*F6</f>
        <v>1261575</v>
      </c>
      <c r="I6" s="10">
        <f>D6*G6</f>
        <v>1299375</v>
      </c>
      <c r="J6" s="10">
        <f>I6-H6</f>
        <v>37800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14640</v>
      </c>
      <c r="E7" s="22">
        <f>H7/(SUM(H4:H7))*100</f>
        <v>27.108435652641731</v>
      </c>
      <c r="F7" s="11">
        <v>87.25</v>
      </c>
      <c r="G7" s="9">
        <f>F7+2</f>
        <v>89.25</v>
      </c>
      <c r="H7" s="11">
        <f>D7*F7</f>
        <v>1277340</v>
      </c>
      <c r="I7" s="10">
        <f>D7*G7</f>
        <v>1306620</v>
      </c>
      <c r="J7" s="10">
        <f>I7-H7</f>
        <v>29280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6" t="s">
        <v>33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80285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2452706.75</v>
      </c>
      <c r="I10" s="10">
        <f>D10*G10</f>
        <v>2613276.75</v>
      </c>
      <c r="J10" s="10">
        <f>I10-H10</f>
        <v>160570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4717</v>
      </c>
      <c r="E13" s="22">
        <f>H13/(SUM(H13:H15))*100</f>
        <v>51.533819566790896</v>
      </c>
      <c r="F13" s="12">
        <v>360</v>
      </c>
      <c r="G13" s="9">
        <f>F13+2</f>
        <v>362</v>
      </c>
      <c r="H13" s="12">
        <f>D13*F13</f>
        <v>1698120</v>
      </c>
      <c r="I13" s="10">
        <f>D13*G13</f>
        <v>1707554</v>
      </c>
      <c r="J13" s="10">
        <f>I13-H13</f>
        <v>9434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195596</v>
      </c>
      <c r="E14" s="22">
        <f>H14/(SUM(H13:H15))*100</f>
        <v>24.871269163911546</v>
      </c>
      <c r="F14" s="9">
        <v>4.1900000000000004</v>
      </c>
      <c r="G14" s="9">
        <f>F14+2</f>
        <v>6.19</v>
      </c>
      <c r="H14" s="9">
        <f>D14*F14</f>
        <v>819547.24000000011</v>
      </c>
      <c r="I14" s="10">
        <f>D14*G14</f>
        <v>1210739.24</v>
      </c>
      <c r="J14" s="10">
        <f>I14-H14</f>
        <v>391191.99999999988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60505</v>
      </c>
      <c r="E15" s="22">
        <f>H15/(SUM(H13:H15))*100</f>
        <v>23.594911269297562</v>
      </c>
      <c r="F15" s="12">
        <v>12.85</v>
      </c>
      <c r="G15" s="9">
        <f>F15+2</f>
        <v>14.85</v>
      </c>
      <c r="H15" s="12">
        <f>D15*F15</f>
        <v>777489.25</v>
      </c>
      <c r="I15" s="10">
        <f>D15*G15</f>
        <v>898499.25</v>
      </c>
      <c r="J15" s="10">
        <f>I15-H15</f>
        <v>121010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6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99700</v>
      </c>
      <c r="E18" s="22">
        <f>H18/(SUM(H18:H20))*100</f>
        <v>22.844213191690358</v>
      </c>
      <c r="F18" s="9">
        <v>9.18</v>
      </c>
      <c r="G18" s="9">
        <f>F18+2</f>
        <v>11.18</v>
      </c>
      <c r="H18" s="9">
        <f>D18*F18</f>
        <v>915246</v>
      </c>
      <c r="I18" s="10">
        <f>D18*G18</f>
        <v>1114646</v>
      </c>
      <c r="J18" s="10">
        <f>I18-H18</f>
        <v>199400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91836</v>
      </c>
      <c r="E19" s="22">
        <f>H19/(SUM(H18:H20))*100</f>
        <v>35.185174092010627</v>
      </c>
      <c r="F19" s="12">
        <v>15.35</v>
      </c>
      <c r="G19" s="9">
        <f>F19+2</f>
        <v>17.350000000000001</v>
      </c>
      <c r="H19" s="12">
        <f>D19*F19</f>
        <v>1409682.5999999999</v>
      </c>
      <c r="I19" s="14">
        <f>D19*G19</f>
        <v>1593354.6</v>
      </c>
      <c r="J19" s="10">
        <f>I19-H19</f>
        <v>183672.00000000023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30298</v>
      </c>
      <c r="E20" s="22">
        <f t="shared" ref="E20" si="0">H20/(SUM(H18:H20))*100</f>
        <v>41.970612716299023</v>
      </c>
      <c r="F20" s="9">
        <v>55.5</v>
      </c>
      <c r="G20" s="9">
        <f>F20+2</f>
        <v>57.5</v>
      </c>
      <c r="H20" s="9">
        <f>D20*F20</f>
        <v>1681539</v>
      </c>
      <c r="I20" s="10">
        <f>D20*G20</f>
        <v>1742135</v>
      </c>
      <c r="J20" s="10">
        <f>I20-H20</f>
        <v>60596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6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49</v>
      </c>
      <c r="E23" s="22">
        <f>H23/(SUM(H23:H24))*100</f>
        <v>69.712802622100753</v>
      </c>
      <c r="F23" s="9">
        <v>52240</v>
      </c>
      <c r="G23" s="9">
        <f>F23+2</f>
        <v>52242</v>
      </c>
      <c r="H23" s="9">
        <f>D23*F23</f>
        <v>2559760</v>
      </c>
      <c r="I23" s="10">
        <f>D23*G23</f>
        <v>2559858</v>
      </c>
      <c r="J23" s="10">
        <f>I23-H23</f>
        <v>98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97</v>
      </c>
      <c r="E24" s="22">
        <f>H24/(SUM(H23:H24))*100</f>
        <v>30.287197377899243</v>
      </c>
      <c r="F24" s="12">
        <v>11465</v>
      </c>
      <c r="G24" s="9">
        <f>F24+2</f>
        <v>11467</v>
      </c>
      <c r="H24" s="12">
        <f>D24*F24</f>
        <v>1112105</v>
      </c>
      <c r="I24" s="10">
        <f>D24*G24</f>
        <v>1112299</v>
      </c>
      <c r="J24" s="10">
        <f>I24-H24</f>
        <v>194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6" t="s">
        <v>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121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6050000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6" t="s">
        <v>46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0" t="s">
        <v>49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58" t="s">
        <v>52</v>
      </c>
      <c r="F34" s="59"/>
      <c r="G34" s="59"/>
      <c r="H34" s="59"/>
      <c r="I34" s="59"/>
      <c r="J34" s="59"/>
      <c r="K34" s="59"/>
      <c r="L34" s="59"/>
      <c r="M34" s="59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4711965</v>
      </c>
      <c r="D35" s="25">
        <f>C35/C45*100</f>
        <v>17.992729725421984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2452706.75</v>
      </c>
      <c r="D36" s="25">
        <f>C36/C45*100</f>
        <v>9.3657082869817909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3295156.49</v>
      </c>
      <c r="D37" s="25">
        <f>C37/C45*100</f>
        <v>12.582618955688377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4006467.5999999996</v>
      </c>
      <c r="D38" s="25">
        <f>C38/C45*100</f>
        <v>15.298774222741486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3671865</v>
      </c>
      <c r="D39" s="25">
        <f>C39/C45*100</f>
        <v>14.021087706134615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6050000</v>
      </c>
      <c r="D40" s="25">
        <f>C40/C45*100</f>
        <v>23.10204231966982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7.6370387833619242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14466295.84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26188160.84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5" sqref="B5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33000</v>
      </c>
      <c r="E2" s="14"/>
    </row>
    <row r="3" spans="1:5" x14ac:dyDescent="0.35">
      <c r="A3" s="14"/>
      <c r="B3" s="14" t="s">
        <v>30</v>
      </c>
      <c r="C3" s="14"/>
      <c r="D3" s="14">
        <f>Holdings!D5</f>
        <v>15000</v>
      </c>
      <c r="E3" s="14"/>
    </row>
    <row r="4" spans="1:5" x14ac:dyDescent="0.35">
      <c r="A4" s="14"/>
      <c r="B4" s="14" t="s">
        <v>31</v>
      </c>
      <c r="C4" s="14"/>
      <c r="D4" s="14">
        <f>Holdings!D6</f>
        <v>18900</v>
      </c>
      <c r="E4" s="14"/>
    </row>
    <row r="5" spans="1:5" x14ac:dyDescent="0.35">
      <c r="A5" s="14"/>
      <c r="B5" s="14" t="s">
        <v>32</v>
      </c>
      <c r="C5" s="14"/>
      <c r="D5" s="14">
        <f>Holdings!D7</f>
        <v>14640</v>
      </c>
      <c r="E5" s="14"/>
    </row>
    <row r="6" spans="1:5" x14ac:dyDescent="0.35">
      <c r="A6" s="14"/>
      <c r="B6" s="14" t="s">
        <v>34</v>
      </c>
      <c r="C6" s="14"/>
      <c r="D6" s="14">
        <f>Holdings!D10</f>
        <v>80285</v>
      </c>
      <c r="E6" s="14"/>
    </row>
    <row r="7" spans="1:5" x14ac:dyDescent="0.35">
      <c r="A7" s="14"/>
      <c r="B7" s="14" t="s">
        <v>35</v>
      </c>
      <c r="C7" s="14"/>
      <c r="D7" s="14">
        <f>Holdings!D13</f>
        <v>4717</v>
      </c>
      <c r="E7" s="14"/>
    </row>
    <row r="8" spans="1:5" x14ac:dyDescent="0.35">
      <c r="A8" s="14"/>
      <c r="B8" s="14" t="s">
        <v>36</v>
      </c>
      <c r="C8" s="14"/>
      <c r="D8" s="14">
        <f>Holdings!D14</f>
        <v>195596</v>
      </c>
      <c r="E8" s="14"/>
    </row>
    <row r="9" spans="1:5" x14ac:dyDescent="0.35">
      <c r="A9" s="14"/>
      <c r="B9" s="14" t="s">
        <v>58</v>
      </c>
      <c r="C9" s="14"/>
      <c r="D9" s="14">
        <f>Holdings!D15</f>
        <v>60505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99700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91836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30298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49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97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2026-05-31T19:51:42Z</dcterms:modified>
</cp:coreProperties>
</file>