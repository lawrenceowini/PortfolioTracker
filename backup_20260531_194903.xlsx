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Dashboard" sheetId="1" state="visible" r:id="rId1"/>
    <sheet name="Holdings" sheetId="2" state="visible" r:id="rId2"/>
    <sheet name="Dividend Tracking" sheetId="3" state="visible" r:id="rId3"/>
    <sheet name="Dashboard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family val="1"/>
      <b val="1"/>
      <color rgb="FFFFC000"/>
      <sz val="20"/>
    </font>
    <font>
      <name val="Calibri"/>
      <family val="2"/>
      <color rgb="FFF1E9CB"/>
      <sz val="11"/>
      <scheme val="minor"/>
    </font>
    <font>
      <name val="Georgia"/>
      <family val="1"/>
      <b val="1"/>
      <color rgb="FFEAECE6"/>
      <sz val="14"/>
    </font>
    <font>
      <name val="Georgia"/>
      <family val="1"/>
      <b val="1"/>
      <color rgb="FFF1E9CB"/>
      <sz val="14"/>
    </font>
    <font>
      <name val="Georgia"/>
      <family val="1"/>
      <color rgb="FF2F332E"/>
      <sz val="11"/>
    </font>
    <font>
      <name val="Georgia"/>
      <family val="1"/>
      <color theme="1"/>
      <sz val="11"/>
    </font>
    <font>
      <name val="Georgia"/>
      <family val="1"/>
      <b val="1"/>
      <color rgb="FFFFC000"/>
      <sz val="14"/>
    </font>
    <font>
      <name val="Georgia"/>
      <family val="1"/>
      <b val="1"/>
      <color rgb="FFFFC000"/>
      <sz val="16"/>
    </font>
    <font>
      <name val="Georgia"/>
      <family val="1"/>
      <b val="1"/>
      <sz val="12"/>
    </font>
    <font>
      <name val="Georgia"/>
      <family val="1"/>
      <b val="1"/>
      <color theme="6" tint="-0.499984740745262"/>
      <sz val="14"/>
    </font>
    <font>
      <name val="Georgia"/>
      <family val="1"/>
      <b val="1"/>
      <color theme="1"/>
      <sz val="12"/>
    </font>
    <font>
      <name val="Georgia"/>
      <family val="1"/>
      <b val="1"/>
      <color rgb="FFEAECE6"/>
      <sz val="20"/>
    </font>
  </fonts>
  <fills count="12">
    <fill>
      <patternFill/>
    </fill>
    <fill>
      <patternFill patternType="gray125"/>
    </fill>
    <fill>
      <patternFill patternType="solid">
        <fgColor rgb="FFFDFBF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AF6EE"/>
        <bgColor indexed="64"/>
      </patternFill>
    </fill>
    <fill>
      <patternFill patternType="solid">
        <fgColor rgb="FFEAECE6"/>
        <bgColor indexed="64"/>
      </patternFill>
    </fill>
    <fill>
      <patternFill patternType="solid">
        <fgColor rgb="FFE6DF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B4436"/>
        <bgColor indexed="64"/>
      </patternFill>
    </fill>
    <fill>
      <patternFill patternType="solid">
        <fgColor rgb="FFF1E9CB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6" borderId="0" applyAlignment="1" pivotButton="0" quotePrefix="0" xfId="0">
      <alignment horizontal="center"/>
    </xf>
    <xf numFmtId="0" fontId="0" fillId="7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6" borderId="0" pivotButton="0" quotePrefix="0" xfId="0"/>
    <xf numFmtId="0" fontId="6" fillId="6" borderId="0" pivotButton="0" quotePrefix="0" xfId="0"/>
    <xf numFmtId="0" fontId="5" fillId="2" borderId="0" pivotButton="0" quotePrefix="0" xfId="0"/>
    <xf numFmtId="0" fontId="5" fillId="5" borderId="0" pivotButton="0" quotePrefix="0" xfId="0"/>
    <xf numFmtId="0" fontId="6" fillId="6" borderId="0" applyAlignment="1" pivotButton="0" quotePrefix="0" xfId="0">
      <alignment horizontal="center"/>
    </xf>
    <xf numFmtId="0" fontId="6" fillId="5" borderId="0" pivotButton="0" quotePrefix="0" xfId="0"/>
    <xf numFmtId="0" fontId="8" fillId="3" borderId="0" applyAlignment="1" pivotButton="0" quotePrefix="0" xfId="0">
      <alignment horizontal="center"/>
    </xf>
    <xf numFmtId="0" fontId="6" fillId="3" borderId="0" pivotButton="0" quotePrefix="0" xfId="0"/>
    <xf numFmtId="0" fontId="7" fillId="3" borderId="0" applyAlignment="1" pivotButton="0" quotePrefix="0" xfId="0">
      <alignment horizontal="center"/>
    </xf>
    <xf numFmtId="0" fontId="9" fillId="6" borderId="0" pivotButton="0" quotePrefix="0" xfId="0"/>
    <xf numFmtId="0" fontId="9" fillId="5" borderId="0" pivotButton="0" quotePrefix="0" xfId="0"/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2" fontId="5" fillId="6" borderId="0" pivotButton="0" quotePrefix="0" xfId="0"/>
    <xf numFmtId="2" fontId="5" fillId="2" borderId="0" pivotButton="0" quotePrefix="0" xfId="0"/>
    <xf numFmtId="2" fontId="5" fillId="5" borderId="0" pivotButton="0" quotePrefix="0" xfId="0"/>
    <xf numFmtId="2" fontId="9" fillId="6" borderId="0" pivotButton="0" quotePrefix="0" xfId="0"/>
    <xf numFmtId="2" fontId="9" fillId="5" borderId="0" pivotButton="0" quotePrefix="0" xfId="0"/>
    <xf numFmtId="2" fontId="6" fillId="5" borderId="0" pivotButton="0" quotePrefix="0" xfId="0"/>
    <xf numFmtId="2" fontId="6" fillId="6" borderId="0" pivotButton="0" quotePrefix="0" xfId="0"/>
    <xf numFmtId="2" fontId="6" fillId="0" borderId="0" pivotButton="0" quotePrefix="0" xfId="0"/>
    <xf numFmtId="2" fontId="0" fillId="0" borderId="0" pivotButton="0" quotePrefix="0" xfId="0"/>
    <xf numFmtId="2" fontId="7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4" borderId="0" pivotButton="0" quotePrefix="0" xfId="0"/>
    <xf numFmtId="0" fontId="5" fillId="4" borderId="0" applyAlignment="1" pivotButton="0" quotePrefix="0" xfId="0">
      <alignment horizontal="center"/>
    </xf>
    <xf numFmtId="0" fontId="11" fillId="6" borderId="0" pivotButton="0" quotePrefix="0" xfId="0"/>
    <xf numFmtId="2" fontId="11" fillId="6" borderId="0" pivotButton="0" quotePrefix="0" xfId="0"/>
    <xf numFmtId="0" fontId="6" fillId="10" borderId="0" pivotButton="0" quotePrefix="0" xfId="0"/>
    <xf numFmtId="0" fontId="0" fillId="10" borderId="0" pivotButton="0" quotePrefix="0" xfId="0"/>
    <xf numFmtId="0" fontId="5" fillId="10" borderId="0" applyAlignment="1" pivotButton="0" quotePrefix="0" xfId="0">
      <alignment horizontal="center"/>
    </xf>
    <xf numFmtId="2" fontId="6" fillId="10" borderId="0" pivotButton="0" quotePrefix="0" xfId="0"/>
    <xf numFmtId="10" fontId="6" fillId="10" borderId="0" pivotButton="0" quotePrefix="0" xfId="0"/>
    <xf numFmtId="10" fontId="6" fillId="5" borderId="0" pivotButton="0" quotePrefix="0" xfId="0"/>
    <xf numFmtId="0" fontId="6" fillId="11" borderId="0" pivotButton="0" quotePrefix="0" xfId="0"/>
    <xf numFmtId="0" fontId="0" fillId="11" borderId="0" pivotButton="0" quotePrefix="0" xfId="0"/>
    <xf numFmtId="0" fontId="6" fillId="9" borderId="0" pivotButton="0" quotePrefix="0" xfId="0"/>
    <xf numFmtId="0" fontId="0" fillId="9" borderId="0" pivotButton="0" quotePrefix="0" xfId="0"/>
    <xf numFmtId="0" fontId="10" fillId="11" borderId="0" applyAlignment="1" pivotButton="0" quotePrefix="0" xfId="0">
      <alignment horizontal="center"/>
    </xf>
    <xf numFmtId="0" fontId="10" fillId="11" borderId="0" pivotButton="0" quotePrefix="0" xfId="0"/>
    <xf numFmtId="0" fontId="5" fillId="5" borderId="0" applyAlignment="1" pivotButton="0" quotePrefix="0" xfId="0">
      <alignment horizontal="left"/>
    </xf>
    <xf numFmtId="0" fontId="5" fillId="4" borderId="0" applyAlignment="1" pivotButton="0" quotePrefix="0" xfId="0">
      <alignment horizontal="left"/>
    </xf>
    <xf numFmtId="0" fontId="5" fillId="10" borderId="0" applyAlignment="1" pivotButton="0" quotePrefix="0" xfId="0">
      <alignment horizontal="left"/>
    </xf>
    <xf numFmtId="0" fontId="4" fillId="3" borderId="0" pivotButton="0" quotePrefix="0" xfId="0"/>
    <xf numFmtId="0" fontId="3" fillId="8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10" fillId="9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12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accent3">
                  <a:lumMod val="50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Georgia" panose="02040502050405020303" pitchFamily="18" charset="0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Dashboard!$C$2</f>
              <strCache>
                <ptCount val="1"/>
                <pt idx="0">
                  <v>Target Allocation (%)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3B4436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spPr>
              <a:solidFill>
                <a:sysClr val="window" lastClr="FFFFFF"/>
              </a:solidFill>
              <a:ln>
                <a:noFill/>
                <a:prstDash val="solid"/>
              </a:ln>
            </spPr>
            <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Dashboard!$B$3:$B$6</f>
              <strCache>
                <ptCount val="4"/>
                <pt idx="0">
                  <v>Kenyan Stocks</v>
                </pt>
                <pt idx="1">
                  <v>Treasury Bonds</v>
                </pt>
                <pt idx="2">
                  <v>Foreign ETFs</v>
                </pt>
                <pt idx="3">
                  <v>Cash/MMF</v>
                </pt>
              </strCache>
            </strRef>
          </cat>
          <val>
            <numRef>
              <f>Dashboard!$C$3:$C$6</f>
              <numCache>
                <formatCode>General</formatCode>
                <ptCount val="4"/>
                <pt idx="0">
                  <v>50</v>
                </pt>
                <pt idx="1">
                  <v>30</v>
                </pt>
                <pt idx="2">
                  <v>15</v>
                </pt>
                <pt idx="3">
                  <v>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plotVisOnly val="1"/>
    <dispBlanksAs val="gap"/>
  </chart>
  <spPr>
    <a:noFill/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chemeClr val="accent3">
                  <a:lumMod val="50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Georgia" panose="02040502050405020303" pitchFamily="18" charset="0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Dashboard!$C$28</f>
              <strCache>
                <ptCount val="1"/>
                <pt idx="0">
                  <v>Percentage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chemeClr val="tx2">
                  <a:lumMod val="75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Dashboard!$B$29:$B$32</f>
              <strCache>
                <ptCount val="4"/>
                <pt idx="0">
                  <v>Banking</v>
                </pt>
                <pt idx="1">
                  <v>Telecom</v>
                </pt>
                <pt idx="2">
                  <v>Insurance</v>
                </pt>
                <pt idx="3">
                  <v>Energy</v>
                </pt>
              </strCache>
            </strRef>
          </cat>
          <val>
            <numRef>
              <f>Dashboard!$C$29:$C$32</f>
              <numCache>
                <formatCode>0.00</formatCode>
                <ptCount val="4"/>
                <pt idx="0">
                  <v>28.43685499667182</v>
                </pt>
                <pt idx="1">
                  <v>20.43949181899955</v>
                </pt>
                <pt idx="2">
                  <v>21.0293130499198</v>
                </pt>
                <pt idx="3">
                  <v>30.09434013440882</v>
                </pt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noFill/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3525796296748535"/>
          <y val="0.0178867109249307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100" baseline="0">
              <a:solidFill>
                <a:srgbClr val="4A3004"/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Georgia" panose="02040502050405020303" pitchFamily="18" charset="0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Dashboard!$D$18</f>
              <strCache>
                <ptCount val="1"/>
                <pt idx="0">
                  <v>Percentage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>
                  <a:lumMod val="50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1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3"/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Dashboard!$B$19:$B$22</f>
              <strCache>
                <ptCount val="4"/>
                <pt idx="0">
                  <v>Kenyan Stocks</v>
                </pt>
                <pt idx="1">
                  <v>Treasury Bonds</v>
                </pt>
                <pt idx="2">
                  <v>Foreign ETFs</v>
                </pt>
                <pt idx="3">
                  <v>Cash/MMF</v>
                </pt>
              </strCache>
            </strRef>
          </cat>
          <val>
            <numRef>
              <f>Dashboard!$D$19:$D$22</f>
              <numCache>
                <formatCode>0.00</formatCode>
                <ptCount val="4"/>
                <pt idx="0">
                  <v>52.72907103048235</v>
                </pt>
                <pt idx="1">
                  <v>25.63776319627053</v>
                </pt>
                <pt idx="2">
                  <v>13.15787215464529</v>
                </pt>
                <pt idx="3">
                  <v>8.475293618601828</v>
                </pt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noFill/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chemeClr val="accent3">
                  <a:lumMod val="75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5"/>
            <bubble3D val="0"/>
            <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6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  <showBubbleSize val="0"/>
            </dLbl>
            <dLbl>
              <idx val="1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  <showBubbleSize val="0"/>
            </dLbl>
            <dLbl>
              <idx val="5"/>
              <dLblPos val="bestFit"/>
              <showLegendKey val="1"/>
              <showVal val="0"/>
              <showCatName val="1"/>
              <showSerName val="0"/>
              <showPercent val="1"/>
              <showBubbleSize val="0"/>
            </dLbl>
            <dLbl>
              <idx val="6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bestFit"/>
            <showLegendKey val="1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Holdings!$B$35:$B$41</f>
              <strCache>
                <ptCount val="7"/>
                <pt idx="0">
                  <v>Banking</v>
                </pt>
                <pt idx="1">
                  <v>Telecom</v>
                </pt>
                <pt idx="2">
                  <v>Insurance</v>
                </pt>
                <pt idx="3">
                  <v>Energy</v>
                </pt>
                <pt idx="4">
                  <v>ETFs</v>
                </pt>
                <pt idx="5">
                  <v>Fixed Income</v>
                </pt>
                <pt idx="6">
                  <v>Liquid Cash</v>
                </pt>
              </strCache>
            </strRef>
          </cat>
          <val>
            <numRef>
              <f>Holdings!$D$35:$D$41</f>
              <numCache>
                <formatCode>0.00</formatCode>
                <ptCount val="7"/>
                <pt idx="0">
                  <v>14.99448947003036</v>
                </pt>
                <pt idx="1">
                  <v>10.7775541595099</v>
                </pt>
                <pt idx="2">
                  <v>11.08856141531471</v>
                </pt>
                <pt idx="3">
                  <v>15.86846598562739</v>
                </pt>
                <pt idx="4">
                  <v>13.15787215464529</v>
                </pt>
                <pt idx="5">
                  <v>25.63776319627053</v>
                </pt>
                <pt idx="6">
                  <v>8.475293618601828</v>
                </pt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noFill/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339725</colOff>
      <row>1</row>
      <rowOff>0</rowOff>
    </from>
    <to>
      <col>13</col>
      <colOff>34925</colOff>
      <row>15</row>
      <rowOff>127000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197556</colOff>
      <row>25</row>
      <rowOff>70556</rowOff>
    </from>
    <to>
      <col>9</col>
      <colOff>402167</colOff>
      <row>36</row>
      <rowOff>175684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</col>
      <colOff>176388</colOff>
      <row>16</row>
      <rowOff>134761</rowOff>
    </from>
    <to>
      <col>12</col>
      <colOff>310444</colOff>
      <row>27</row>
      <rowOff>162278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1333500</colOff>
      <row>32</row>
      <rowOff>227805</rowOff>
    </from>
    <to>
      <col>10</col>
      <colOff>480219</colOff>
      <row>48</row>
      <rowOff>79374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tabSelected="1" topLeftCell="A12" zoomScale="85" zoomScaleNormal="85" workbookViewId="0">
      <selection activeCell="D26" sqref="D26"/>
    </sheetView>
  </sheetViews>
  <sheetFormatPr baseColWidth="8" defaultRowHeight="14.5"/>
  <cols>
    <col width="28.90625" bestFit="1" customWidth="1" min="2" max="2"/>
    <col width="29.6328125" bestFit="1" customWidth="1" min="3" max="3"/>
    <col width="29.7265625" bestFit="1" customWidth="1" min="4" max="4"/>
    <col width="23.08984375" bestFit="1" customWidth="1" min="5" max="5"/>
  </cols>
  <sheetData>
    <row r="1" ht="25" customFormat="1" customHeight="1" s="4">
      <c r="A1" s="57" t="inlineStr">
        <is>
          <t>Portfolio Dashboard</t>
        </is>
      </c>
      <c r="N1" s="5" t="n"/>
      <c r="O1" s="5" t="n"/>
      <c r="P1" s="5" t="n"/>
      <c r="Q1" s="5" t="n"/>
      <c r="R1" s="5" t="n"/>
      <c r="S1" s="5" t="n"/>
      <c r="T1" s="5" t="n"/>
      <c r="U1" s="5" t="n"/>
    </row>
    <row r="2" ht="17.5" customFormat="1" customHeight="1" s="44">
      <c r="A2" s="43" t="n"/>
      <c r="B2" s="47" t="inlineStr">
        <is>
          <t>Asset Class</t>
        </is>
      </c>
      <c r="C2" s="47" t="inlineStr">
        <is>
          <t>Target Allocation (%)</t>
        </is>
      </c>
      <c r="D2" s="48" t="inlineStr">
        <is>
          <t>Actual Allocation (%)</t>
        </is>
      </c>
      <c r="E2" s="48" t="inlineStr">
        <is>
          <t>Difference</t>
        </is>
      </c>
      <c r="F2" s="43" t="n"/>
      <c r="G2" s="43" t="n"/>
      <c r="H2" s="43" t="n"/>
      <c r="I2" s="43" t="n"/>
      <c r="J2" s="43" t="n"/>
      <c r="K2" s="43" t="n"/>
      <c r="L2" s="43" t="n"/>
      <c r="M2" s="43" t="n"/>
    </row>
    <row r="3" customFormat="1" s="3">
      <c r="A3" s="14" t="n"/>
      <c r="B3" s="49" t="inlineStr">
        <is>
          <t>Kenyan Stocks</t>
        </is>
      </c>
      <c r="C3" s="32" t="n">
        <v>50</v>
      </c>
      <c r="D3" s="27">
        <f>D19</f>
        <v/>
      </c>
      <c r="E3" s="27">
        <f>D3-C3</f>
        <v/>
      </c>
      <c r="F3" s="14" t="n"/>
      <c r="G3" s="14" t="n"/>
      <c r="H3" s="14" t="n"/>
      <c r="I3" s="14" t="n"/>
      <c r="J3" s="14" t="n"/>
      <c r="K3" s="14" t="n"/>
      <c r="L3" s="14" t="n"/>
      <c r="M3" s="14" t="n"/>
    </row>
    <row r="4" customFormat="1" s="1">
      <c r="A4" s="33" t="n"/>
      <c r="B4" s="50" t="inlineStr">
        <is>
          <t>Treasury Bonds</t>
        </is>
      </c>
      <c r="C4" s="34" t="n">
        <v>30</v>
      </c>
      <c r="D4" s="27">
        <f>D20</f>
        <v/>
      </c>
      <c r="E4" s="27">
        <f>D4-C4</f>
        <v/>
      </c>
      <c r="F4" s="33" t="n"/>
      <c r="G4" s="33" t="n"/>
      <c r="H4" s="33" t="n"/>
      <c r="I4" s="33" t="n"/>
      <c r="J4" s="33" t="n"/>
      <c r="K4" s="33" t="n"/>
      <c r="L4" s="33" t="n"/>
      <c r="M4" s="33" t="n"/>
      <c r="N4" s="2" t="n"/>
      <c r="O4" s="2" t="n"/>
      <c r="P4" s="2" t="n"/>
      <c r="Q4" s="2" t="n"/>
      <c r="R4" s="2" t="n"/>
      <c r="S4" s="2" t="n"/>
      <c r="T4" s="2" t="n"/>
      <c r="U4" s="2" t="n"/>
    </row>
    <row r="5" customFormat="1" s="3">
      <c r="A5" s="14" t="n"/>
      <c r="B5" s="49" t="inlineStr">
        <is>
          <t>Foreign ETFs</t>
        </is>
      </c>
      <c r="C5" s="32" t="n">
        <v>15</v>
      </c>
      <c r="D5" s="27">
        <f>D21</f>
        <v/>
      </c>
      <c r="E5" s="27">
        <f>D5-C5</f>
        <v/>
      </c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33" t="n"/>
      <c r="B6" s="50" t="inlineStr">
        <is>
          <t>Cash/MMF</t>
        </is>
      </c>
      <c r="C6" s="34" t="n">
        <v>5</v>
      </c>
      <c r="D6" s="27">
        <f>D22</f>
        <v/>
      </c>
      <c r="E6" s="27">
        <f>D6-C6</f>
        <v/>
      </c>
      <c r="F6" s="33" t="n"/>
      <c r="G6" s="33" t="n"/>
      <c r="H6" s="33" t="n"/>
      <c r="I6" s="33" t="n"/>
      <c r="J6" s="33" t="n"/>
      <c r="K6" s="33" t="n"/>
      <c r="L6" s="33" t="n"/>
      <c r="M6" s="33" t="n"/>
      <c r="N6" s="2" t="n"/>
      <c r="O6" s="2" t="n"/>
      <c r="P6" s="2" t="n"/>
      <c r="Q6" s="2" t="n"/>
      <c r="R6" s="2" t="n"/>
      <c r="S6" s="2" t="n"/>
      <c r="T6" s="2" t="n"/>
      <c r="U6" s="2" t="n"/>
    </row>
    <row r="7" customFormat="1" s="3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ht="17.5" customFormat="1" customHeight="1" s="44">
      <c r="A8" s="43" t="n"/>
      <c r="B8" s="48" t="inlineStr">
        <is>
          <t>Kenyan-Stock Sector</t>
        </is>
      </c>
      <c r="C8" s="48" t="inlineStr">
        <is>
          <t>Target Allocation (%)</t>
        </is>
      </c>
      <c r="D8" s="48" t="inlineStr">
        <is>
          <t>Actual Allocation (%)</t>
        </is>
      </c>
      <c r="E8" s="48" t="inlineStr">
        <is>
          <t>Difference</t>
        </is>
      </c>
      <c r="F8" s="43" t="n"/>
      <c r="G8" s="43" t="n"/>
      <c r="H8" s="43" t="n"/>
      <c r="I8" s="43" t="n"/>
      <c r="J8" s="43" t="n"/>
      <c r="K8" s="43" t="n"/>
      <c r="L8" s="43" t="n"/>
      <c r="M8" s="43" t="n"/>
    </row>
    <row r="9" customFormat="1" s="3">
      <c r="A9" s="14" t="n"/>
      <c r="B9" s="14" t="inlineStr">
        <is>
          <t>Banking</t>
        </is>
      </c>
      <c r="C9" s="14" t="n">
        <v>30</v>
      </c>
      <c r="D9" s="27">
        <f>C29</f>
        <v/>
      </c>
      <c r="E9" s="27">
        <f>D9-C9</f>
        <v/>
      </c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33" t="n"/>
      <c r="B10" s="33" t="inlineStr">
        <is>
          <t>Telecom</t>
        </is>
      </c>
      <c r="C10" s="33" t="n">
        <v>20</v>
      </c>
      <c r="D10" s="27">
        <f>C30</f>
        <v/>
      </c>
      <c r="E10" s="27">
        <f>D10-C10</f>
        <v/>
      </c>
      <c r="F10" s="33" t="n"/>
      <c r="G10" s="33" t="n"/>
      <c r="H10" s="33" t="n"/>
      <c r="I10" s="33" t="n"/>
      <c r="J10" s="33" t="n"/>
      <c r="K10" s="33" t="n"/>
      <c r="L10" s="33" t="n"/>
      <c r="M10" s="33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customFormat="1" s="3">
      <c r="A11" s="14" t="n"/>
      <c r="B11" s="14" t="inlineStr">
        <is>
          <t>Insurance</t>
        </is>
      </c>
      <c r="C11" s="14" t="n">
        <v>20</v>
      </c>
      <c r="D11" s="27">
        <f>C31</f>
        <v/>
      </c>
      <c r="E11" s="27">
        <f>D11-C11</f>
        <v/>
      </c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>
      <c r="A12" s="33" t="n"/>
      <c r="B12" s="33" t="inlineStr">
        <is>
          <t>Energy</t>
        </is>
      </c>
      <c r="C12" s="33" t="n">
        <v>30</v>
      </c>
      <c r="D12" s="27">
        <f>C32</f>
        <v/>
      </c>
      <c r="E12" s="27">
        <f>D12-C12</f>
        <v/>
      </c>
      <c r="F12" s="33" t="n"/>
      <c r="G12" s="33" t="n"/>
      <c r="H12" s="33" t="n"/>
      <c r="I12" s="33" t="n"/>
      <c r="J12" s="33" t="n"/>
      <c r="K12" s="33" t="n"/>
      <c r="L12" s="33" t="n"/>
      <c r="M12" s="33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 customFormat="1" s="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customFormat="1" s="3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 ht="17.5" customHeight="1">
      <c r="A17" s="58" t="inlineStr">
        <is>
          <t>Present State</t>
        </is>
      </c>
      <c r="M17" s="33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 ht="17.5" customFormat="1" customHeight="1" s="44">
      <c r="A18" s="43" t="n"/>
      <c r="B18" s="48" t="inlineStr">
        <is>
          <t>Asset Class</t>
        </is>
      </c>
      <c r="C18" s="48" t="inlineStr">
        <is>
          <t>Value (Kshs.)</t>
        </is>
      </c>
      <c r="D18" s="48" t="inlineStr">
        <is>
          <t>Percentage</t>
        </is>
      </c>
      <c r="E18" s="48" t="inlineStr">
        <is>
          <t>Average Interest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</row>
    <row r="19" customFormat="1" s="3">
      <c r="A19" s="14" t="n"/>
      <c r="B19" s="49" t="inlineStr">
        <is>
          <t>Kenyan Stocks</t>
        </is>
      </c>
      <c r="C19" s="27">
        <f>Holdings!C43</f>
        <v/>
      </c>
      <c r="D19" s="27">
        <f>SUM(Holdings!D35:'Holdings'!D38)</f>
        <v/>
      </c>
      <c r="E19" s="42" t="n">
        <v>0.095</v>
      </c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 customFormat="1" s="38">
      <c r="A20" s="37" t="n"/>
      <c r="B20" s="51" t="inlineStr">
        <is>
          <t>Treasury Bonds</t>
        </is>
      </c>
      <c r="C20" s="40">
        <f>Holdings!C40</f>
        <v/>
      </c>
      <c r="D20" s="40">
        <f>Holdings!D40</f>
        <v/>
      </c>
      <c r="E20" s="41" t="n">
        <v>0.145</v>
      </c>
      <c r="F20" s="37" t="n"/>
      <c r="G20" s="37" t="n"/>
      <c r="H20" s="37" t="n"/>
      <c r="I20" s="37" t="n"/>
      <c r="J20" s="37" t="n"/>
      <c r="K20" s="37" t="n"/>
      <c r="L20" s="37" t="n"/>
      <c r="M20" s="37" t="n"/>
    </row>
    <row r="21" customFormat="1" s="3">
      <c r="A21" s="14" t="n"/>
      <c r="B21" s="49" t="inlineStr">
        <is>
          <t>Foreign ETFs</t>
        </is>
      </c>
      <c r="C21" s="27">
        <f>Holdings!C39</f>
        <v/>
      </c>
      <c r="D21" s="27">
        <f>Holdings!D39</f>
        <v/>
      </c>
      <c r="E21" s="42" t="n">
        <v>0.0105</v>
      </c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 customFormat="1" s="38">
      <c r="A22" s="37" t="n"/>
      <c r="B22" s="51" t="inlineStr">
        <is>
          <t>Cash/MMF</t>
        </is>
      </c>
      <c r="C22" s="40">
        <f>Holdings!C41</f>
        <v/>
      </c>
      <c r="D22" s="40">
        <f>Holdings!D41</f>
        <v/>
      </c>
      <c r="E22" s="41" t="n">
        <v>0.105</v>
      </c>
      <c r="F22" s="37" t="n"/>
      <c r="G22" s="37" t="n"/>
      <c r="H22" s="37" t="n"/>
      <c r="I22" s="37" t="n"/>
      <c r="J22" s="37" t="n"/>
      <c r="K22" s="37" t="n"/>
      <c r="L22" s="37" t="n"/>
      <c r="M22" s="37" t="n"/>
    </row>
    <row r="23" customFormat="1" s="3">
      <c r="A23" s="14" t="n"/>
      <c r="B23" s="32" t="n"/>
      <c r="C23" s="27" t="n"/>
      <c r="D23" s="27" t="n"/>
      <c r="E23" s="42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 customFormat="1" s="38">
      <c r="A24" s="37" t="n"/>
      <c r="B24" s="39" t="n"/>
      <c r="C24" s="40" t="n"/>
      <c r="D24" s="40" t="n"/>
      <c r="E24" s="41" t="n"/>
      <c r="F24" s="37" t="n"/>
      <c r="G24" s="37" t="n"/>
      <c r="H24" s="37" t="n"/>
      <c r="I24" s="37" t="n"/>
      <c r="J24" s="37" t="n"/>
      <c r="K24" s="37" t="n"/>
      <c r="L24" s="37" t="n"/>
      <c r="M24" s="37" t="n"/>
    </row>
    <row r="25" customFormat="1" s="3">
      <c r="A25" s="14" t="n"/>
      <c r="B25" s="32" t="n"/>
      <c r="C25" s="27" t="n"/>
      <c r="D25" s="27" t="n"/>
      <c r="E25" s="42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 customFormat="1" s="4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</row>
    <row r="27" customFormat="1" s="3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 ht="17.5" customFormat="1" customHeight="1" s="44">
      <c r="A28" s="43" t="n"/>
      <c r="B28" s="48" t="inlineStr">
        <is>
          <t>Kenyan-Stock Sector</t>
        </is>
      </c>
      <c r="C28" s="48" t="inlineStr">
        <is>
          <t>Percentage</t>
        </is>
      </c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</row>
    <row r="29" customFormat="1" s="38">
      <c r="A29" s="37" t="n"/>
      <c r="B29" s="37" t="inlineStr">
        <is>
          <t>Banking</t>
        </is>
      </c>
      <c r="C29" s="40">
        <f>Holdings!C35/C19*100</f>
        <v/>
      </c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</row>
    <row r="30" customFormat="1" s="3">
      <c r="A30" s="14" t="n"/>
      <c r="B30" s="14" t="inlineStr">
        <is>
          <t>Telecom</t>
        </is>
      </c>
      <c r="C30" s="27">
        <f>Holdings!C36/C19*100</f>
        <v/>
      </c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</row>
    <row r="31" customFormat="1" s="38">
      <c r="A31" s="37" t="n"/>
      <c r="B31" s="37" t="inlineStr">
        <is>
          <t>Insurance</t>
        </is>
      </c>
      <c r="C31" s="40">
        <f>Holdings!C37/C19*100</f>
        <v/>
      </c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</row>
    <row r="32" customFormat="1" s="3">
      <c r="A32" s="14" t="n"/>
      <c r="B32" s="14" t="inlineStr">
        <is>
          <t>Energy</t>
        </is>
      </c>
      <c r="C32" s="27">
        <f>Holdings!C38/C19*100</f>
        <v/>
      </c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 customFormat="1" s="38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</row>
    <row r="34" customFormat="1" s="3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 customFormat="1" s="46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</row>
    <row r="36" customFormat="1" s="3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 customFormat="1" s="46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</row>
    <row r="38" customFormat="1" s="3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</row>
    <row r="39" customFormat="1" s="46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</row>
    <row r="40" customFormat="1" s="3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</row>
  </sheetData>
  <mergeCells count="2">
    <mergeCell ref="A17:L17"/>
    <mergeCell ref="A1:M1"/>
  </mergeCells>
  <conditionalFormatting sqref="E3:E6">
    <cfRule type="cellIs" priority="7" operator="equal" dxfId="3">
      <formula>0</formula>
    </cfRule>
    <cfRule type="cellIs" priority="8" operator="notBetween" dxfId="0">
      <formula>-3</formula>
      <formula>3</formula>
    </cfRule>
    <cfRule type="cellIs" priority="9" operator="between" dxfId="1">
      <formula>-3</formula>
      <formula>3</formula>
    </cfRule>
    <cfRule type="cellIs" priority="10" operator="greaterThan" dxfId="0">
      <formula>3</formula>
    </cfRule>
  </conditionalFormatting>
  <conditionalFormatting sqref="E9:E12">
    <cfRule type="cellIs" priority="1" operator="between" dxfId="1">
      <formula>-3</formula>
      <formula>3</formula>
    </cfRule>
    <cfRule type="cellIs" priority="2" operator="equal" dxfId="3">
      <formula>0</formula>
    </cfRule>
    <cfRule type="cellIs" priority="4" operator="notBetween" dxfId="0">
      <formula>-3</formula>
      <formula>3</formula>
    </cfRule>
    <cfRule type="cellIs" priority="5" operator="between" dxfId="1">
      <formula>-3</formula>
      <formula>3</formula>
    </cfRule>
    <cfRule type="cellIs" priority="6" operator="greaterThan" dxfId="0">
      <formula>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topLeftCell="E1" zoomScale="80" zoomScaleNormal="80" workbookViewId="0">
      <selection activeCell="G31" sqref="G31"/>
    </sheetView>
  </sheetViews>
  <sheetFormatPr baseColWidth="8" defaultRowHeight="14.5"/>
  <cols>
    <col width="21.36328125" bestFit="1" customWidth="1" min="1" max="1"/>
    <col width="24.90625" bestFit="1" customWidth="1" min="2" max="2"/>
    <col width="17.7265625" bestFit="1" customWidth="1" style="30" min="3" max="3"/>
    <col width="28.08984375" bestFit="1" customWidth="1" min="4" max="4"/>
    <col width="25.81640625" bestFit="1" customWidth="1" style="30" min="5" max="5"/>
    <col width="18" customWidth="1" min="6" max="6"/>
    <col width="19.36328125" bestFit="1" customWidth="1" min="7" max="7"/>
    <col width="18" customWidth="1" min="8" max="8"/>
    <col width="19.1796875" bestFit="1" customWidth="1" min="9" max="9"/>
    <col width="14.6328125" bestFit="1" customWidth="1" min="10" max="10"/>
  </cols>
  <sheetData>
    <row r="1" ht="17.5" customHeight="1">
      <c r="A1" s="53" t="inlineStr">
        <is>
          <t>Asset Value</t>
        </is>
      </c>
    </row>
    <row r="2" ht="17.5" customFormat="1" customHeight="1" s="7">
      <c r="A2" s="58" t="inlineStr">
        <is>
          <t>Asset</t>
        </is>
      </c>
      <c r="B2" s="58" t="inlineStr">
        <is>
          <t>Sector</t>
        </is>
      </c>
      <c r="C2" s="21" t="inlineStr">
        <is>
          <t>Target %</t>
        </is>
      </c>
      <c r="D2" s="58" t="inlineStr">
        <is>
          <t>Shares</t>
        </is>
      </c>
      <c r="E2" s="21" t="inlineStr">
        <is>
          <t>Shares Percentage</t>
        </is>
      </c>
      <c r="F2" s="58" t="inlineStr">
        <is>
          <t>Buy Price</t>
        </is>
      </c>
      <c r="G2" s="58" t="inlineStr">
        <is>
          <t>Current Price</t>
        </is>
      </c>
      <c r="H2" s="58" t="inlineStr">
        <is>
          <t>Cost Value</t>
        </is>
      </c>
      <c r="I2" s="52" t="inlineStr">
        <is>
          <t>Market Value</t>
        </is>
      </c>
      <c r="J2" s="52" t="inlineStr">
        <is>
          <t>Gain/Loss</t>
        </is>
      </c>
      <c r="K2" s="52" t="n"/>
      <c r="L2" s="52" t="n"/>
      <c r="M2" s="52" t="n"/>
      <c r="N2" s="52" t="n"/>
      <c r="O2" s="52" t="n"/>
    </row>
    <row r="3" ht="17.5" customFormat="1" customHeight="1" s="6">
      <c r="A3" s="55" t="inlineStr">
        <is>
          <t>Banking</t>
        </is>
      </c>
    </row>
    <row r="4" customFormat="1" s="4">
      <c r="A4" s="9" t="inlineStr">
        <is>
          <t>Co-op Bank</t>
        </is>
      </c>
      <c r="B4" s="9" t="inlineStr">
        <is>
          <t>Banking</t>
        </is>
      </c>
      <c r="C4" s="22" t="n">
        <v>5</v>
      </c>
      <c r="D4" s="9" t="n">
        <v>34000</v>
      </c>
      <c r="E4" s="22">
        <f>D4/(SUM(D4:D7))*100</f>
        <v/>
      </c>
      <c r="F4" s="9" t="n">
        <v>32.1</v>
      </c>
      <c r="G4" s="9">
        <f>F4+2</f>
        <v/>
      </c>
      <c r="H4" s="9">
        <f>D4*F4</f>
        <v/>
      </c>
      <c r="I4" s="10">
        <f>D4*G4</f>
        <v/>
      </c>
      <c r="J4" s="10">
        <f>I4-H4</f>
        <v/>
      </c>
      <c r="K4" s="10" t="n"/>
      <c r="L4" s="10" t="n"/>
      <c r="M4" s="10" t="n"/>
      <c r="N4" s="10" t="n"/>
      <c r="O4" s="10" t="n"/>
    </row>
    <row r="5" customFormat="1" s="1">
      <c r="A5" s="11" t="inlineStr">
        <is>
          <t>Equity</t>
        </is>
      </c>
      <c r="B5" s="11" t="inlineStr">
        <is>
          <t>Banking</t>
        </is>
      </c>
      <c r="C5" s="23" t="n">
        <v>5</v>
      </c>
      <c r="D5" s="11" t="n">
        <v>10000</v>
      </c>
      <c r="E5" s="23">
        <f>D5/(SUM(D4:D7))*100</f>
        <v/>
      </c>
      <c r="F5" s="11" t="n">
        <v>74.25</v>
      </c>
      <c r="G5" s="9">
        <f>F5+2</f>
        <v/>
      </c>
      <c r="H5" s="11">
        <f>D5*F5</f>
        <v/>
      </c>
      <c r="I5" s="10">
        <f>D5*G5</f>
        <v/>
      </c>
      <c r="J5" s="10">
        <f>I5-H5</f>
        <v/>
      </c>
      <c r="K5" s="10" t="n"/>
      <c r="L5" s="10" t="n"/>
      <c r="M5" s="10" t="n"/>
      <c r="N5" s="10" t="n"/>
      <c r="O5" s="10" t="n"/>
    </row>
    <row r="6" customFormat="1" s="4">
      <c r="A6" s="9" t="inlineStr">
        <is>
          <t>KCB</t>
        </is>
      </c>
      <c r="B6" s="9" t="inlineStr">
        <is>
          <t>Banking</t>
        </is>
      </c>
      <c r="C6" s="22" t="n">
        <v>5</v>
      </c>
      <c r="D6" s="9" t="n">
        <v>19000</v>
      </c>
      <c r="E6" s="22">
        <f>D6/(SUM(D4:D7))*100</f>
        <v/>
      </c>
      <c r="F6" s="9" t="n">
        <v>66.75</v>
      </c>
      <c r="G6" s="9">
        <f>F6+2</f>
        <v/>
      </c>
      <c r="H6" s="9">
        <f>D6*F6</f>
        <v/>
      </c>
      <c r="I6" s="10">
        <f>D6*G6</f>
        <v/>
      </c>
      <c r="J6" s="10">
        <f>I6-H6</f>
        <v/>
      </c>
      <c r="K6" s="10" t="n"/>
      <c r="L6" s="10" t="n"/>
      <c r="M6" s="10" t="n"/>
      <c r="N6" s="10" t="n"/>
      <c r="O6" s="10" t="n"/>
    </row>
    <row r="7" customFormat="1" s="1">
      <c r="A7" s="11" t="inlineStr">
        <is>
          <t>NCBA</t>
        </is>
      </c>
      <c r="B7" s="11" t="inlineStr">
        <is>
          <t>Banking</t>
        </is>
      </c>
      <c r="C7" s="23" t="n">
        <v>5</v>
      </c>
      <c r="D7" s="11" t="n">
        <v>5000</v>
      </c>
      <c r="E7" s="23">
        <f>D7/(SUM(D4:D7))*100</f>
        <v/>
      </c>
      <c r="F7" s="11" t="n">
        <v>87.25</v>
      </c>
      <c r="G7" s="9">
        <f>F7+2</f>
        <v/>
      </c>
      <c r="H7" s="11">
        <f>D7*F7</f>
        <v/>
      </c>
      <c r="I7" s="10">
        <f>D7*G7</f>
        <v/>
      </c>
      <c r="J7" s="10">
        <f>I7-H7</f>
        <v/>
      </c>
      <c r="K7" s="10" t="n"/>
      <c r="L7" s="10" t="n"/>
      <c r="M7" s="10" t="n"/>
      <c r="N7" s="10" t="n"/>
      <c r="O7" s="10" t="n"/>
    </row>
    <row r="8" customFormat="1" s="4">
      <c r="A8" s="12" t="n"/>
      <c r="B8" s="12" t="n"/>
      <c r="C8" s="24" t="n"/>
      <c r="D8" s="12" t="n"/>
      <c r="E8" s="24" t="n"/>
      <c r="F8" s="12" t="n"/>
      <c r="G8" s="12" t="n"/>
      <c r="H8" s="12" t="n"/>
      <c r="I8" s="10" t="n"/>
      <c r="J8" s="10" t="n"/>
      <c r="K8" s="10" t="n"/>
      <c r="L8" s="10" t="n"/>
      <c r="M8" s="10" t="n"/>
      <c r="N8" s="10" t="n"/>
      <c r="O8" s="10" t="n"/>
    </row>
    <row r="9" ht="17.5" customFormat="1" customHeight="1" s="6">
      <c r="A9" s="55" t="inlineStr">
        <is>
          <t>Telecommunication</t>
        </is>
      </c>
    </row>
    <row r="10" customFormat="1" s="4">
      <c r="A10" s="9" t="inlineStr">
        <is>
          <t>Safaricom</t>
        </is>
      </c>
      <c r="B10" s="9" t="inlineStr">
        <is>
          <t>Telecom</t>
        </is>
      </c>
      <c r="C10" s="22" t="n">
        <v>10</v>
      </c>
      <c r="D10" s="9" t="n">
        <v>83250</v>
      </c>
      <c r="E10" s="22">
        <f>D10/D10*100</f>
        <v/>
      </c>
      <c r="F10" s="9" t="n">
        <v>30.55</v>
      </c>
      <c r="G10" s="9">
        <f>F10+2</f>
        <v/>
      </c>
      <c r="H10" s="9">
        <f>D10*F10</f>
        <v/>
      </c>
      <c r="I10" s="10">
        <f>D10*G10</f>
        <v/>
      </c>
      <c r="J10" s="10">
        <f>I10-H10</f>
        <v/>
      </c>
      <c r="K10" s="10" t="n"/>
      <c r="L10" s="10" t="n"/>
      <c r="M10" s="10" t="n"/>
      <c r="N10" s="10" t="n"/>
      <c r="O10" s="10" t="n"/>
    </row>
    <row r="11" customFormat="1" s="4">
      <c r="A11" s="9" t="n"/>
      <c r="B11" s="9" t="n"/>
      <c r="C11" s="22" t="n"/>
      <c r="D11" s="9" t="n"/>
      <c r="E11" s="22" t="n"/>
      <c r="F11" s="9" t="n"/>
      <c r="G11" s="9" t="n"/>
      <c r="H11" s="9" t="n"/>
      <c r="I11" s="13" t="n"/>
      <c r="J11" s="13" t="n"/>
      <c r="K11" s="13" t="n"/>
      <c r="L11" s="13" t="n"/>
      <c r="M11" s="13" t="n"/>
      <c r="N11" s="13" t="n"/>
      <c r="O11" s="13" t="n"/>
    </row>
    <row r="12" ht="17.5" customFormat="1" customHeight="1" s="6">
      <c r="A12" s="55" t="inlineStr">
        <is>
          <t>Insurance</t>
        </is>
      </c>
    </row>
    <row r="13" customFormat="1" s="4">
      <c r="A13" s="12" t="inlineStr">
        <is>
          <t>Jubilee</t>
        </is>
      </c>
      <c r="B13" s="12" t="inlineStr">
        <is>
          <t>Insurance</t>
        </is>
      </c>
      <c r="C13" s="24" t="n">
        <v>3.33</v>
      </c>
      <c r="D13" s="12" t="n">
        <v>7000</v>
      </c>
      <c r="E13" s="24">
        <f>D13/(SUM(D13:D15))*100</f>
        <v/>
      </c>
      <c r="F13" s="12" t="n">
        <v>360</v>
      </c>
      <c r="G13" s="9">
        <f>F13+2</f>
        <v/>
      </c>
      <c r="H13" s="12">
        <f>D13*F13</f>
        <v/>
      </c>
      <c r="I13" s="10">
        <f>D13*G13</f>
        <v/>
      </c>
      <c r="J13" s="10">
        <f>I13-H13</f>
        <v/>
      </c>
      <c r="K13" s="14" t="n"/>
      <c r="L13" s="14" t="n"/>
      <c r="M13" s="14" t="n"/>
      <c r="N13" s="14" t="n"/>
      <c r="O13" s="14" t="n"/>
    </row>
    <row r="14" customFormat="1" s="4">
      <c r="A14" s="9" t="inlineStr">
        <is>
          <t>CIC</t>
        </is>
      </c>
      <c r="B14" s="9" t="inlineStr">
        <is>
          <t>Insurance</t>
        </is>
      </c>
      <c r="C14" s="22" t="n">
        <v>3.33</v>
      </c>
      <c r="D14" s="9" t="n">
        <v>2250</v>
      </c>
      <c r="E14" s="22">
        <f>D14/(SUM(D13:D15))*100</f>
        <v/>
      </c>
      <c r="F14" s="9" t="n">
        <v>4.19</v>
      </c>
      <c r="G14" s="9">
        <f>F14+2</f>
        <v/>
      </c>
      <c r="H14" s="9">
        <f>D14*F14</f>
        <v/>
      </c>
      <c r="I14" s="10">
        <f>D14*G14</f>
        <v/>
      </c>
      <c r="J14" s="10">
        <f>I14-H14</f>
        <v/>
      </c>
      <c r="K14" s="10" t="n"/>
      <c r="L14" s="10" t="n"/>
      <c r="M14" s="10" t="n"/>
      <c r="N14" s="10" t="n"/>
      <c r="O14" s="10" t="n"/>
    </row>
    <row r="15" customFormat="1" s="4">
      <c r="A15" s="12" t="inlineStr">
        <is>
          <t>Britam</t>
        </is>
      </c>
      <c r="B15" s="12" t="inlineStr">
        <is>
          <t>Insurance</t>
        </is>
      </c>
      <c r="C15" s="24" t="n">
        <v>3.34</v>
      </c>
      <c r="D15" s="12" t="n">
        <v>6790</v>
      </c>
      <c r="E15" s="24">
        <f>D15/(SUM(D13:D15))*100</f>
        <v/>
      </c>
      <c r="F15" s="12" t="n">
        <v>12.85</v>
      </c>
      <c r="G15" s="9">
        <f>F15+2</f>
        <v/>
      </c>
      <c r="H15" s="12">
        <f>D15*F15</f>
        <v/>
      </c>
      <c r="I15" s="10">
        <f>D15*G15</f>
        <v/>
      </c>
      <c r="J15" s="10">
        <f>I15-H15</f>
        <v/>
      </c>
      <c r="K15" s="14" t="n"/>
      <c r="L15" s="14" t="n"/>
      <c r="M15" s="14" t="n"/>
      <c r="N15" s="14" t="n"/>
      <c r="O15" s="14" t="n"/>
    </row>
    <row r="16" customFormat="1" s="4">
      <c r="A16" s="12" t="n"/>
      <c r="B16" s="12" t="n"/>
      <c r="C16" s="24" t="n"/>
      <c r="D16" s="12" t="n"/>
      <c r="E16" s="24" t="n"/>
      <c r="F16" s="12" t="n"/>
      <c r="G16" s="12" t="n"/>
      <c r="H16" s="12" t="n"/>
      <c r="I16" s="14" t="n"/>
      <c r="J16" s="14" t="n"/>
      <c r="K16" s="14" t="n"/>
      <c r="L16" s="14" t="n"/>
      <c r="M16" s="14" t="n"/>
      <c r="N16" s="14" t="n"/>
      <c r="O16" s="14" t="n"/>
    </row>
    <row r="17" ht="17.5" customFormat="1" customHeight="1" s="6">
      <c r="A17" s="55" t="inlineStr">
        <is>
          <t>Energy</t>
        </is>
      </c>
    </row>
    <row r="18" customFormat="1" s="4">
      <c r="A18" s="9" t="inlineStr">
        <is>
          <t>KenGen</t>
        </is>
      </c>
      <c r="B18" s="9" t="inlineStr">
        <is>
          <t>Energy</t>
        </is>
      </c>
      <c r="C18" s="22" t="n">
        <v>10</v>
      </c>
      <c r="D18" s="9" t="n">
        <v>99700</v>
      </c>
      <c r="E18" s="22">
        <f>D18/(SUM(D18:D20))*100</f>
        <v/>
      </c>
      <c r="F18" s="9" t="n">
        <v>9.18</v>
      </c>
      <c r="G18" s="9">
        <f>F18+2</f>
        <v/>
      </c>
      <c r="H18" s="9">
        <f>D18*F18</f>
        <v/>
      </c>
      <c r="I18" s="10">
        <f>D18*G18</f>
        <v/>
      </c>
      <c r="J18" s="10">
        <f>I18-H18</f>
        <v/>
      </c>
      <c r="K18" s="10" t="n"/>
      <c r="L18" s="10" t="n"/>
      <c r="M18" s="10" t="n"/>
      <c r="N18" s="10" t="n"/>
      <c r="O18" s="10" t="n"/>
    </row>
    <row r="19" customFormat="1" s="3">
      <c r="A19" s="12" t="inlineStr">
        <is>
          <t>Kenya Power</t>
        </is>
      </c>
      <c r="B19" s="12" t="inlineStr">
        <is>
          <t>Energy</t>
        </is>
      </c>
      <c r="C19" s="24" t="n">
        <v>10</v>
      </c>
      <c r="D19" s="12" t="n">
        <v>39700</v>
      </c>
      <c r="E19" s="24">
        <f>D19/(SUM(D18:D20))*100</f>
        <v/>
      </c>
      <c r="F19" s="12" t="n">
        <v>15.35</v>
      </c>
      <c r="G19" s="9">
        <f>F19+2</f>
        <v/>
      </c>
      <c r="H19" s="12">
        <f>D19*F19</f>
        <v/>
      </c>
      <c r="I19" s="14">
        <f>D19*G19</f>
        <v/>
      </c>
      <c r="J19" s="10">
        <f>I19-H19</f>
        <v/>
      </c>
      <c r="K19" s="14" t="n"/>
      <c r="L19" s="14" t="n"/>
      <c r="M19" s="14" t="n"/>
      <c r="N19" s="14" t="n"/>
      <c r="O19" s="14" t="n"/>
    </row>
    <row r="20" customFormat="1" s="4">
      <c r="A20" s="9" t="inlineStr">
        <is>
          <t>Total Energies Marketing</t>
        </is>
      </c>
      <c r="B20" s="9" t="n"/>
      <c r="C20" s="22" t="n"/>
      <c r="D20" s="9" t="n">
        <v>40000</v>
      </c>
      <c r="E20" s="22">
        <f>D20/(SUM(D18:D20))*100</f>
        <v/>
      </c>
      <c r="F20" s="9" t="n">
        <v>55.5</v>
      </c>
      <c r="G20" s="9">
        <f>F20+2</f>
        <v/>
      </c>
      <c r="H20" s="9">
        <f>D20*F20</f>
        <v/>
      </c>
      <c r="I20" s="10">
        <f>D20*G20</f>
        <v/>
      </c>
      <c r="J20" s="10">
        <f>I20-H20</f>
        <v/>
      </c>
      <c r="K20" s="10" t="n"/>
      <c r="L20" s="10" t="n"/>
      <c r="M20" s="10" t="n"/>
      <c r="N20" s="10" t="n"/>
      <c r="O20" s="10" t="n"/>
    </row>
    <row r="21" customFormat="1" s="3">
      <c r="A21" s="12" t="n"/>
      <c r="B21" s="12" t="n"/>
      <c r="C21" s="24" t="n"/>
      <c r="D21" s="12" t="n"/>
      <c r="E21" s="24" t="n"/>
      <c r="F21" s="12" t="n"/>
      <c r="G21" s="12" t="n"/>
      <c r="H21" s="12" t="n"/>
      <c r="I21" s="14" t="n"/>
      <c r="J21" s="14" t="n"/>
      <c r="K21" s="14" t="n"/>
      <c r="L21" s="14" t="n"/>
      <c r="M21" s="14" t="n"/>
      <c r="N21" s="14" t="n"/>
      <c r="O21" s="14" t="n"/>
    </row>
    <row r="22" ht="17.5" customFormat="1" customHeight="1" s="6">
      <c r="A22" s="55" t="inlineStr">
        <is>
          <t>ETFs</t>
        </is>
      </c>
    </row>
    <row r="23" customFormat="1" s="4">
      <c r="A23" s="9" t="inlineStr">
        <is>
          <t>VOO / IVV</t>
        </is>
      </c>
      <c r="B23" s="9" t="inlineStr">
        <is>
          <t>ETF</t>
        </is>
      </c>
      <c r="C23" s="22" t="n">
        <v>10</v>
      </c>
      <c r="D23" s="9" t="n">
        <v>50</v>
      </c>
      <c r="E23" s="22">
        <f>D23/(SUM(D23:D24))*100</f>
        <v/>
      </c>
      <c r="F23" s="9" t="n">
        <v>52240</v>
      </c>
      <c r="G23" s="9">
        <f>F23+2</f>
        <v/>
      </c>
      <c r="H23" s="9">
        <f>D23*F23</f>
        <v/>
      </c>
      <c r="I23" s="10">
        <f>D23*G23</f>
        <v/>
      </c>
      <c r="J23" s="10">
        <f>I23-H23</f>
        <v/>
      </c>
      <c r="K23" s="10" t="n"/>
      <c r="L23" s="10" t="n"/>
      <c r="M23" s="10" t="n"/>
      <c r="N23" s="10" t="n"/>
      <c r="O23" s="10" t="n"/>
    </row>
    <row r="24" customFormat="1" s="4">
      <c r="A24" s="12" t="inlineStr">
        <is>
          <t>VT</t>
        </is>
      </c>
      <c r="B24" s="12" t="inlineStr">
        <is>
          <t>ETF</t>
        </is>
      </c>
      <c r="C24" s="24" t="n">
        <v>5</v>
      </c>
      <c r="D24" s="12" t="n">
        <v>43</v>
      </c>
      <c r="E24" s="24">
        <f>D24/(SUM(D23:D24))*100</f>
        <v/>
      </c>
      <c r="F24" s="12" t="n">
        <v>11465</v>
      </c>
      <c r="G24" s="9">
        <f>F24+2</f>
        <v/>
      </c>
      <c r="H24" s="12">
        <f>D24*F24</f>
        <v/>
      </c>
      <c r="I24" s="10">
        <f>D24*G24</f>
        <v/>
      </c>
      <c r="J24" s="10">
        <f>I24-H24</f>
        <v/>
      </c>
      <c r="K24" s="14" t="n"/>
      <c r="L24" s="14" t="n"/>
      <c r="M24" s="14" t="n"/>
      <c r="N24" s="14" t="n"/>
      <c r="O24" s="14" t="n"/>
    </row>
    <row r="25" customFormat="1" s="4">
      <c r="A25" s="12" t="n"/>
      <c r="B25" s="12" t="n"/>
      <c r="C25" s="24" t="n"/>
      <c r="D25" s="12" t="n"/>
      <c r="E25" s="24" t="n"/>
      <c r="F25" s="12" t="n"/>
      <c r="G25" s="12" t="n"/>
      <c r="H25" s="12" t="n"/>
      <c r="I25" s="14" t="n"/>
      <c r="J25" s="14" t="n"/>
      <c r="K25" s="14" t="n"/>
      <c r="L25" s="14" t="n"/>
      <c r="M25" s="14" t="n"/>
      <c r="N25" s="14" t="n"/>
      <c r="O25" s="14" t="n"/>
    </row>
    <row r="26" ht="17.5" customFormat="1" customHeight="1" s="6">
      <c r="A26" s="55" t="inlineStr">
        <is>
          <t>Fixed Income</t>
        </is>
      </c>
    </row>
    <row r="27" customFormat="1" s="4">
      <c r="A27" s="9" t="inlineStr">
        <is>
          <t>Treasury Bonds</t>
        </is>
      </c>
      <c r="B27" s="9" t="inlineStr">
        <is>
          <t>Fixed Income</t>
        </is>
      </c>
      <c r="C27" s="22" t="n">
        <v>30</v>
      </c>
      <c r="D27" s="9" t="n">
        <v>121</v>
      </c>
      <c r="E27" s="22">
        <f>D27/D27*100</f>
        <v/>
      </c>
      <c r="F27" s="9" t="n">
        <v>50000</v>
      </c>
      <c r="G27" s="9">
        <f>F27</f>
        <v/>
      </c>
      <c r="H27" s="9">
        <f>D27*F27</f>
        <v/>
      </c>
      <c r="I27" s="10" t="n"/>
      <c r="J27" s="10" t="n"/>
      <c r="K27" s="10" t="n"/>
      <c r="L27" s="10" t="n"/>
      <c r="M27" s="10" t="n"/>
      <c r="N27" s="10" t="n"/>
      <c r="O27" s="10" t="n"/>
    </row>
    <row r="28" customFormat="1" s="4">
      <c r="A28" s="9" t="n"/>
      <c r="B28" s="9" t="n"/>
      <c r="C28" s="22" t="n"/>
      <c r="D28" s="9" t="n"/>
      <c r="E28" s="22" t="n"/>
      <c r="F28" s="9" t="n"/>
      <c r="G28" s="9" t="n"/>
      <c r="H28" s="9" t="n"/>
      <c r="I28" s="10" t="n"/>
      <c r="J28" s="10" t="n"/>
      <c r="K28" s="10" t="n"/>
      <c r="L28" s="10" t="n"/>
      <c r="M28" s="10" t="n"/>
      <c r="N28" s="10" t="n"/>
      <c r="O28" s="10" t="n"/>
    </row>
    <row r="29" ht="17.5" customFormat="1" customHeight="1" s="6">
      <c r="A29" s="55" t="inlineStr">
        <is>
          <t>Liquid Cash</t>
        </is>
      </c>
    </row>
    <row r="30" customFormat="1" s="4">
      <c r="A30" s="12" t="inlineStr">
        <is>
          <t>Money Market Fund</t>
        </is>
      </c>
      <c r="B30" s="12" t="inlineStr">
        <is>
          <t>Cash</t>
        </is>
      </c>
      <c r="C30" s="24" t="n">
        <v>5</v>
      </c>
      <c r="D30" s="12" t="n">
        <v>2</v>
      </c>
      <c r="E30" s="24">
        <f>D30/D30*100</f>
        <v/>
      </c>
      <c r="F30" s="12" t="n">
        <v>1000000</v>
      </c>
      <c r="G30" s="12">
        <f>F30</f>
        <v/>
      </c>
      <c r="H30" s="12">
        <f>D30*F30</f>
        <v/>
      </c>
      <c r="I30" s="14" t="n"/>
      <c r="J30" s="14" t="n"/>
      <c r="K30" s="14" t="n"/>
      <c r="L30" s="14" t="n"/>
      <c r="M30" s="14" t="n"/>
      <c r="N30" s="14" t="n"/>
      <c r="O30" s="14" t="n"/>
    </row>
    <row r="31" customFormat="1" s="4">
      <c r="A31" s="9" t="n"/>
      <c r="B31" s="9" t="n"/>
      <c r="C31" s="22" t="n"/>
      <c r="D31" s="9" t="n"/>
      <c r="E31" s="22" t="n"/>
      <c r="F31" s="9" t="n"/>
      <c r="G31" s="9" t="n"/>
      <c r="H31" s="9" t="n"/>
      <c r="I31" s="10" t="n"/>
      <c r="J31" s="10" t="n"/>
      <c r="K31" s="10" t="n"/>
      <c r="L31" s="10" t="n"/>
      <c r="M31" s="10" t="n"/>
      <c r="N31" s="10" t="n"/>
      <c r="O31" s="10" t="n"/>
    </row>
    <row r="32" customFormat="1" s="3">
      <c r="A32" s="12" t="n"/>
      <c r="B32" s="12" t="n"/>
      <c r="C32" s="24" t="n"/>
      <c r="D32" s="12" t="n"/>
      <c r="E32" s="24" t="n"/>
      <c r="F32" s="12" t="n"/>
      <c r="G32" s="12" t="n"/>
      <c r="H32" s="12" t="n"/>
      <c r="I32" s="14" t="n"/>
      <c r="J32" s="14" t="n"/>
      <c r="K32" s="14" t="n"/>
      <c r="L32" s="14" t="n"/>
      <c r="M32" s="14" t="n"/>
      <c r="N32" s="14" t="n"/>
      <c r="O32" s="14" t="n"/>
    </row>
    <row r="33" ht="20" customFormat="1" customHeight="1" s="4">
      <c r="A33" s="56" t="inlineStr">
        <is>
          <t>Sector Value</t>
        </is>
      </c>
    </row>
    <row r="34" ht="20" customFormat="1" customHeight="1" s="4">
      <c r="A34" s="16" t="n"/>
      <c r="B34" s="54" t="inlineStr">
        <is>
          <t>Sector</t>
        </is>
      </c>
      <c r="C34" s="31" t="inlineStr">
        <is>
          <t>Total Value</t>
        </is>
      </c>
      <c r="D34" s="54" t="inlineStr">
        <is>
          <t>Portfolio Percentage</t>
        </is>
      </c>
      <c r="E34" s="54" t="inlineStr">
        <is>
          <t>Charts</t>
        </is>
      </c>
      <c r="N34" s="56" t="n"/>
      <c r="O34" s="56" t="n"/>
    </row>
    <row r="35" ht="15.5" customFormat="1" customHeight="1" s="4">
      <c r="A35" s="10" t="n"/>
      <c r="B35" s="18" t="inlineStr">
        <is>
          <t>Banking</t>
        </is>
      </c>
      <c r="C35" s="25">
        <f>SUM(H4:H7)</f>
        <v/>
      </c>
      <c r="D35" s="25">
        <f>C35/C45*100</f>
        <v/>
      </c>
      <c r="E35" s="25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.5" customFormat="1" customHeight="1" s="3">
      <c r="A36" s="14" t="n"/>
      <c r="B36" s="19" t="inlineStr">
        <is>
          <t>Telecom</t>
        </is>
      </c>
      <c r="C36" s="26">
        <f>H10</f>
        <v/>
      </c>
      <c r="D36" s="25">
        <f>C36/C45*100</f>
        <v/>
      </c>
      <c r="E36" s="26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</row>
    <row r="37" ht="15.5" customFormat="1" customHeight="1" s="4">
      <c r="A37" s="10" t="n"/>
      <c r="B37" s="18" t="inlineStr">
        <is>
          <t>Insurance</t>
        </is>
      </c>
      <c r="C37" s="25">
        <f>SUM(H13:H15)</f>
        <v/>
      </c>
      <c r="D37" s="25">
        <f>C37/C45*100</f>
        <v/>
      </c>
      <c r="E37" s="25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.5" customFormat="1" customHeight="1" s="3">
      <c r="A38" s="14" t="n"/>
      <c r="B38" s="19" t="inlineStr">
        <is>
          <t>Energy</t>
        </is>
      </c>
      <c r="C38" s="26">
        <f>SUM(H18:H20)</f>
        <v/>
      </c>
      <c r="D38" s="25">
        <f>C38/C45*100</f>
        <v/>
      </c>
      <c r="E38" s="26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</row>
    <row r="39" ht="15.5" customFormat="1" customHeight="1" s="4">
      <c r="A39" s="10" t="n"/>
      <c r="B39" s="18" t="inlineStr">
        <is>
          <t>ETFs</t>
        </is>
      </c>
      <c r="C39" s="25">
        <f>SUM(H23:H24)</f>
        <v/>
      </c>
      <c r="D39" s="25">
        <f>C39/C45*100</f>
        <v/>
      </c>
      <c r="E39" s="25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.5" customFormat="1" customHeight="1" s="3">
      <c r="A40" s="14" t="n"/>
      <c r="B40" s="19" t="inlineStr">
        <is>
          <t>Fixed Income</t>
        </is>
      </c>
      <c r="C40" s="26">
        <f>H27</f>
        <v/>
      </c>
      <c r="D40" s="25">
        <f>C40/C45*100</f>
        <v/>
      </c>
      <c r="E40" s="26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</row>
    <row r="41" ht="15.5" customFormat="1" customHeight="1" s="4">
      <c r="A41" s="10" t="n"/>
      <c r="B41" s="18" t="inlineStr">
        <is>
          <t>Liquid Cash</t>
        </is>
      </c>
      <c r="C41" s="25">
        <f>H30</f>
        <v/>
      </c>
      <c r="D41" s="25">
        <f>C41/C45*100</f>
        <v/>
      </c>
      <c r="E41" s="25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.5" customFormat="1" customHeight="1" s="3">
      <c r="A42" s="14" t="n"/>
      <c r="B42" s="19" t="n"/>
      <c r="C42" s="26" t="n"/>
      <c r="D42" s="19" t="n"/>
      <c r="E42" s="26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</row>
    <row r="43" ht="15.5" customFormat="1" customHeight="1" s="4">
      <c r="A43" s="10" t="n"/>
      <c r="B43" s="35" t="inlineStr">
        <is>
          <t>Kenyan-Stock Sector</t>
        </is>
      </c>
      <c r="C43" s="36">
        <f>SUM(C35:C38)</f>
        <v/>
      </c>
      <c r="D43" s="18" t="n"/>
      <c r="E43" s="25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customFormat="1" s="3">
      <c r="A44" s="14" t="n"/>
      <c r="B44" s="14" t="n"/>
      <c r="C44" s="27" t="n"/>
      <c r="D44" s="14" t="n"/>
      <c r="E44" s="27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</row>
    <row r="45" ht="15.5" customFormat="1" customHeight="1" s="4">
      <c r="A45" s="10" t="n"/>
      <c r="B45" s="18" t="inlineStr">
        <is>
          <t>Total Portfolio Value</t>
        </is>
      </c>
      <c r="C45" s="25">
        <f>SUM(C35:C41)</f>
        <v/>
      </c>
      <c r="D45" s="10" t="n"/>
      <c r="E45" s="28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 customFormat="1" s="3">
      <c r="A46" s="14" t="n"/>
      <c r="B46" s="14" t="n"/>
      <c r="C46" s="27" t="n"/>
      <c r="D46" s="14" t="n"/>
      <c r="E46" s="27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</row>
    <row r="47">
      <c r="A47" s="20" t="n"/>
      <c r="B47" s="20" t="n"/>
      <c r="C47" s="29" t="n"/>
      <c r="D47" s="20" t="n"/>
      <c r="E47" s="29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</sheetData>
  <mergeCells count="10">
    <mergeCell ref="A29:O29"/>
    <mergeCell ref="A12:O12"/>
    <mergeCell ref="A26:O26"/>
    <mergeCell ref="A33:O33"/>
    <mergeCell ref="A9:O9"/>
    <mergeCell ref="A1:O1"/>
    <mergeCell ref="A22:O22"/>
    <mergeCell ref="A17:O17"/>
    <mergeCell ref="E34:M34"/>
    <mergeCell ref="A3:O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B5" sqref="B5"/>
    </sheetView>
  </sheetViews>
  <sheetFormatPr baseColWidth="8" defaultRowHeight="14.5"/>
  <cols>
    <col width="18" customWidth="1" min="1" max="2"/>
    <col width="27" bestFit="1" customWidth="1" min="3" max="3"/>
    <col width="10.1796875" bestFit="1" customWidth="1" min="4" max="4"/>
    <col width="20.81640625" bestFit="1" customWidth="1" min="5" max="5"/>
  </cols>
  <sheetData>
    <row r="1" ht="17.5" customHeight="1">
      <c r="A1" s="58" t="inlineStr">
        <is>
          <t>Date</t>
        </is>
      </c>
      <c r="B1" s="58" t="inlineStr">
        <is>
          <t>Asset</t>
        </is>
      </c>
      <c r="C1" s="58" t="inlineStr">
        <is>
          <t>Dividend per Share</t>
        </is>
      </c>
      <c r="D1" s="58" t="inlineStr">
        <is>
          <t>Shares</t>
        </is>
      </c>
      <c r="E1" s="58" t="inlineStr">
        <is>
          <t>Total Dividend</t>
        </is>
      </c>
    </row>
    <row r="2">
      <c r="A2" s="14" t="n"/>
      <c r="B2" s="14" t="inlineStr">
        <is>
          <t>Co-op</t>
        </is>
      </c>
      <c r="C2" s="14" t="n"/>
      <c r="D2" s="14">
        <f>Holdings!D4</f>
        <v/>
      </c>
      <c r="E2" s="14" t="n"/>
    </row>
    <row r="3">
      <c r="A3" s="14" t="n"/>
      <c r="B3" s="14" t="inlineStr">
        <is>
          <t>Equity</t>
        </is>
      </c>
      <c r="C3" s="14" t="n"/>
      <c r="D3" s="14">
        <f>Holdings!D5</f>
        <v/>
      </c>
      <c r="E3" s="14" t="n"/>
    </row>
    <row r="4">
      <c r="A4" s="14" t="n"/>
      <c r="B4" s="14" t="inlineStr">
        <is>
          <t>KCB</t>
        </is>
      </c>
      <c r="C4" s="14" t="n"/>
      <c r="D4" s="14">
        <f>Holdings!D6</f>
        <v/>
      </c>
      <c r="E4" s="14" t="n"/>
    </row>
    <row r="5">
      <c r="A5" s="14" t="n"/>
      <c r="B5" s="14" t="inlineStr">
        <is>
          <t>NCBA</t>
        </is>
      </c>
      <c r="C5" s="14" t="n"/>
      <c r="D5" s="14">
        <f>Holdings!D7</f>
        <v/>
      </c>
      <c r="E5" s="14" t="n"/>
    </row>
    <row r="6">
      <c r="A6" s="14" t="n"/>
      <c r="B6" s="14" t="inlineStr">
        <is>
          <t>Safaricom</t>
        </is>
      </c>
      <c r="C6" s="14" t="n"/>
      <c r="D6" s="14">
        <f>Holdings!D10</f>
        <v/>
      </c>
      <c r="E6" s="14" t="n"/>
    </row>
    <row r="7">
      <c r="A7" s="14" t="n"/>
      <c r="B7" s="14" t="inlineStr">
        <is>
          <t>Jubilee</t>
        </is>
      </c>
      <c r="C7" s="14" t="n"/>
      <c r="D7" s="14">
        <f>Holdings!D13</f>
        <v/>
      </c>
      <c r="E7" s="14" t="n"/>
    </row>
    <row r="8">
      <c r="A8" s="14" t="n"/>
      <c r="B8" s="14" t="inlineStr">
        <is>
          <t>CIC</t>
        </is>
      </c>
      <c r="C8" s="14" t="n"/>
      <c r="D8" s="14">
        <f>Holdings!D14</f>
        <v/>
      </c>
      <c r="E8" s="14" t="n"/>
    </row>
    <row r="9">
      <c r="A9" s="14" t="n"/>
      <c r="B9" s="14" t="inlineStr">
        <is>
          <t>Britam Holdings</t>
        </is>
      </c>
      <c r="C9" s="14" t="n"/>
      <c r="D9" s="14">
        <f>Holdings!D15</f>
        <v/>
      </c>
      <c r="E9" s="14" t="n"/>
    </row>
    <row r="10">
      <c r="A10" s="14" t="n"/>
      <c r="B10" s="14" t="inlineStr">
        <is>
          <t>KenGen</t>
        </is>
      </c>
      <c r="C10" s="14" t="n"/>
      <c r="D10" s="14">
        <f>Holdings!D18</f>
        <v/>
      </c>
      <c r="E10" s="14" t="n"/>
    </row>
    <row r="11">
      <c r="A11" s="14" t="n"/>
      <c r="B11" s="14" t="inlineStr">
        <is>
          <t>KPLC</t>
        </is>
      </c>
      <c r="C11" s="14" t="n"/>
      <c r="D11" s="14">
        <f>Holdings!D19</f>
        <v/>
      </c>
      <c r="E11" s="14" t="n"/>
    </row>
    <row r="12">
      <c r="A12" s="14" t="n"/>
      <c r="B12" s="14" t="inlineStr">
        <is>
          <t>Total Energies</t>
        </is>
      </c>
      <c r="C12" s="14" t="n"/>
      <c r="D12" s="14">
        <f>Holdings!D20</f>
        <v/>
      </c>
      <c r="E12" s="14" t="n"/>
    </row>
    <row r="13">
      <c r="A13" s="14" t="n"/>
      <c r="B13" s="14" t="inlineStr">
        <is>
          <t>VOO/IVV</t>
        </is>
      </c>
      <c r="C13" s="14" t="n"/>
      <c r="D13" s="14">
        <f>Holdings!D23</f>
        <v/>
      </c>
      <c r="E13" s="14" t="n"/>
    </row>
    <row r="14">
      <c r="A14" s="14" t="n"/>
      <c r="B14" s="14" t="inlineStr">
        <is>
          <t>VT</t>
        </is>
      </c>
      <c r="C14" s="14" t="n"/>
      <c r="D14" s="14">
        <f>Holdings!D24</f>
        <v/>
      </c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5:B32"/>
  <sheetViews>
    <sheetView workbookViewId="0">
      <selection activeCell="A1" sqref="A1"/>
    </sheetView>
  </sheetViews>
  <sheetFormatPr baseColWidth="8" defaultRowHeight="15"/>
  <sheetData>
    <row r="25">
      <c r="A25" t="inlineStr">
        <is>
          <t>Sector</t>
        </is>
      </c>
      <c r="B25" t="inlineStr">
        <is>
          <t>Allocation %</t>
        </is>
      </c>
    </row>
    <row r="26">
      <c r="A26" t="inlineStr">
        <is>
          <t>Banking</t>
        </is>
      </c>
      <c r="B26" t="n">
        <v>22.62343073576915</v>
      </c>
    </row>
    <row r="27">
      <c r="A27" t="inlineStr">
        <is>
          <t>Cash</t>
        </is>
      </c>
      <c r="B27" t="n">
        <v>0</v>
      </c>
    </row>
    <row r="28">
      <c r="A28" t="inlineStr">
        <is>
          <t>ETF</t>
        </is>
      </c>
      <c r="B28" t="n">
        <v>19.11872612549706</v>
      </c>
    </row>
    <row r="29">
      <c r="A29" t="inlineStr">
        <is>
          <t>Energy</t>
        </is>
      </c>
      <c r="B29" t="n">
        <v>11.10385982733133</v>
      </c>
    </row>
    <row r="30">
      <c r="A30" t="inlineStr">
        <is>
          <t>Fixed Income</t>
        </is>
      </c>
      <c r="B30" t="n">
        <v>0</v>
      </c>
    </row>
    <row r="31">
      <c r="A31" t="inlineStr">
        <is>
          <t>Insurance</t>
        </is>
      </c>
      <c r="B31" t="n">
        <v>16.30851724696417</v>
      </c>
    </row>
    <row r="32">
      <c r="A32" t="inlineStr">
        <is>
          <t>Telecom</t>
        </is>
      </c>
      <c r="B32" t="n">
        <v>16.68427221176329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2026-05-30T19:37:10Z</dcterms:created>
  <dcterms:modified xsi:type="dcterms:W3CDTF">2026-05-31T15:11:15Z</dcterms:modified>
  <cp:lastModifiedBy>lawrenceowini17@gmail.com</cp:lastModifiedBy>
</cp:coreProperties>
</file>