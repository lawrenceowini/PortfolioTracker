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"/>
    </mc:Choice>
  </mc:AlternateContent>
  <xr:revisionPtr revIDLastSave="14" documentId="11_09C9AF2A7231FE99B5EDE0B00038F1AF6A203683" xr6:coauthVersionLast="47" xr6:coauthVersionMax="47" xr10:uidLastSave="{F0A67AFC-FFFA-470D-8C95-E63111FAD9FE}"/>
  <bookViews>
    <workbookView xWindow="-110" yWindow="-110" windowWidth="19420" windowHeight="10300" activeTab="1" xr2:uid="{00000000-000D-0000-FFFF-FFFF00000000}"/>
  </bookViews>
  <sheets>
    <sheet name="Dashboard" sheetId="1" r:id="rId1"/>
    <sheet name="Holdings" sheetId="2" r:id="rId2"/>
    <sheet name="Dividend Tracking" sheetId="3" r:id="rId3"/>
    <sheet name="Dashboard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E23" i="2"/>
  <c r="D14" i="3"/>
  <c r="D13" i="3"/>
  <c r="D12" i="3"/>
  <c r="D11" i="3"/>
  <c r="D10" i="3"/>
  <c r="D9" i="3"/>
  <c r="D8" i="3"/>
  <c r="D7" i="3"/>
  <c r="D6" i="3"/>
  <c r="D5" i="3"/>
  <c r="D4" i="3"/>
  <c r="D3" i="3"/>
  <c r="D2" i="3"/>
  <c r="C40" i="2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C39" i="2" s="1"/>
  <c r="G23" i="2"/>
  <c r="I23" i="2" s="1"/>
  <c r="J23" i="2" s="1"/>
  <c r="H20" i="2"/>
  <c r="E20" i="2" s="1"/>
  <c r="G20" i="2"/>
  <c r="I20" i="2" s="1"/>
  <c r="J20" i="2" s="1"/>
  <c r="H19" i="2"/>
  <c r="G19" i="2"/>
  <c r="I19" i="2" s="1"/>
  <c r="J19" i="2" s="1"/>
  <c r="H18" i="2"/>
  <c r="C38" i="2" s="1"/>
  <c r="G18" i="2"/>
  <c r="I18" i="2" s="1"/>
  <c r="J18" i="2" s="1"/>
  <c r="H15" i="2"/>
  <c r="G15" i="2"/>
  <c r="I15" i="2" s="1"/>
  <c r="J15" i="2" s="1"/>
  <c r="H14" i="2"/>
  <c r="G14" i="2"/>
  <c r="I14" i="2" s="1"/>
  <c r="H13" i="2"/>
  <c r="E15" i="2" s="1"/>
  <c r="G13" i="2"/>
  <c r="I13" i="2" s="1"/>
  <c r="J13" i="2" s="1"/>
  <c r="H10" i="2"/>
  <c r="G10" i="2"/>
  <c r="I10" i="2" s="1"/>
  <c r="J10" i="2" s="1"/>
  <c r="H7" i="2"/>
  <c r="G7" i="2"/>
  <c r="I7" i="2" s="1"/>
  <c r="J7" i="2" s="1"/>
  <c r="H6" i="2"/>
  <c r="G6" i="2"/>
  <c r="I6" i="2" s="1"/>
  <c r="J6" i="2" s="1"/>
  <c r="H5" i="2"/>
  <c r="G5" i="2"/>
  <c r="I5" i="2" s="1"/>
  <c r="J5" i="2" s="1"/>
  <c r="H4" i="2"/>
  <c r="G4" i="2"/>
  <c r="I4" i="2" s="1"/>
  <c r="J4" i="2" s="1"/>
  <c r="C35" i="2" l="1"/>
  <c r="E19" i="2"/>
  <c r="E18" i="2"/>
  <c r="E14" i="2"/>
  <c r="E13" i="2"/>
  <c r="E10" i="2"/>
  <c r="C36" i="2"/>
  <c r="E7" i="2"/>
  <c r="E6" i="2"/>
  <c r="E5" i="2"/>
  <c r="E4" i="2"/>
  <c r="C37" i="2"/>
  <c r="C45" i="2" s="1"/>
  <c r="J14" i="2"/>
  <c r="C20" i="1"/>
  <c r="C22" i="1"/>
  <c r="C21" i="1"/>
  <c r="C43" i="2" l="1"/>
  <c r="C19" i="1" s="1"/>
  <c r="C31" i="1"/>
  <c r="D11" i="1" s="1"/>
  <c r="E11" i="1" s="1"/>
  <c r="D37" i="2"/>
  <c r="D40" i="2"/>
  <c r="D20" i="1" s="1"/>
  <c r="D4" i="1" s="1"/>
  <c r="E4" i="1" s="1"/>
  <c r="D35" i="2"/>
  <c r="D36" i="2"/>
  <c r="D41" i="2"/>
  <c r="D22" i="1" s="1"/>
  <c r="D6" i="1" s="1"/>
  <c r="E6" i="1" s="1"/>
  <c r="D39" i="2"/>
  <c r="D21" i="1" s="1"/>
  <c r="D5" i="1" s="1"/>
  <c r="E5" i="1" s="1"/>
  <c r="D38" i="2"/>
  <c r="D19" i="1" l="1"/>
  <c r="D3" i="1" s="1"/>
  <c r="E3" i="1" s="1"/>
  <c r="C30" i="1"/>
  <c r="D10" i="1" s="1"/>
  <c r="E10" i="1" s="1"/>
  <c r="C32" i="1"/>
  <c r="D12" i="1" s="1"/>
  <c r="E12" i="1" s="1"/>
  <c r="C29" i="1"/>
  <c r="D9" i="1" s="1"/>
  <c r="E9" i="1" s="1"/>
</calcChain>
</file>

<file path=xl/sharedStrings.xml><?xml version="1.0" encoding="utf-8"?>
<sst xmlns="http://schemas.openxmlformats.org/spreadsheetml/2006/main" count="121" uniqueCount="63">
  <si>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</si>
  <si>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</si>
  <si>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</si>
  <si>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</si>
  <si>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</si>
  <si>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</si>
  <si>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</si>
  <si>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</si>
  <si>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</si>
  <si>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</si>
  <si>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</si>
  <si>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</si>
  <si>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</si>
  <si>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</si>
  <si>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</si>
  <si>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</si>
  <si>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</si>
  <si>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</si>
  <si>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</si>
  <si>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</si>
  <si>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</si>
  <si>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</si>
  <si>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</si>
  <si>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</si>
  <si>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</si>
  <si>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</si>
  <si>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</si>
  <si>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</si>
  <si>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</si>
  <si>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</si>
  <si>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</si>
  <si>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</si>
  <si>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</si>
  <si>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</si>
  <si>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</si>
  <si>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</si>
  <si>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</si>
  <si>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</si>
  <si>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</si>
  <si>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</si>
  <si>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</si>
  <si>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</si>
  <si>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</si>
  <si>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</si>
  <si>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</si>
  <si>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</si>
  <si>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</si>
  <si>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</si>
  <si>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</si>
  <si>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</si>
  <si>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</si>
  <si>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</si>
  <si>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</si>
  <si>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</si>
  <si>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</si>
  <si>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</si>
  <si>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</si>
  <si>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</si>
  <si>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</si>
  <si>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</si>
  <si>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</si>
  <si>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</si>
  <si>
    <t>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</si>
</sst>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3" fillId="8" borderId="0" xfId="0" applyFont="1" applyFill="1" applyAlignment="1">
      <alignment horizontal="center"/>
    </xf>
    <xf numFmtId="0" fontId="0" fillId="0" borderId="0" xfId="0"/>
    <xf numFmtId="2" fontId="0" fillId="0" borderId="0" xfId="0" applyNumberFormat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7" fillId="3" borderId="0" xfId="0" applyFont="1" applyFill="1" applyAlignment="1">
      <alignment horizontal="center"/>
    </xf>
    <xf numFmtId="0" fontId="0" fillId="6" borderId="0" xfId="0" applyFill="1"/>
    <xf numFmtId="0" fontId="8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32.892193364440118</c:v>
                </c:pt>
                <c:pt idx="1">
                  <c:v>17.097067097143984</c:v>
                </c:pt>
                <c:pt idx="2">
                  <c:v>22.082881721849194</c:v>
                </c:pt>
                <c:pt idx="3">
                  <c:v>27.927857816566704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54.704003939567663</c:v>
                </c:pt>
                <c:pt idx="1">
                  <c:v>23.070153235054143</c:v>
                </c:pt>
                <c:pt idx="2">
                  <c:v>14.599345888170209</c:v>
                </c:pt>
                <c:pt idx="3">
                  <c:v>7.6264969372079809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17.993346753893537</c:v>
                </c:pt>
                <c:pt idx="1">
                  <c:v>9.3527802583721709</c:v>
                </c:pt>
                <c:pt idx="2">
                  <c:v>12.08022048709045</c:v>
                </c:pt>
                <c:pt idx="3">
                  <c:v>15.277656440211507</c:v>
                </c:pt>
                <c:pt idx="4">
                  <c:v>14.599345888170209</c:v>
                </c:pt>
                <c:pt idx="5">
                  <c:v>23.070153235054143</c:v>
                </c:pt>
                <c:pt idx="6">
                  <c:v>7.6264969372079809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12" zoomScale="85" zoomScaleNormal="85" workbookViewId="0">
      <selection activeCell="D26" sqref="D26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62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>
        <f>D19</f>
        <v>54.704003939567663</v>
      </c>
      <c r="E3" s="27">
        <f>D3-C3</f>
        <v>4.7040039395676629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>
        <f>D20</f>
        <v>23.070153235054143</v>
      </c>
      <c r="E4" s="27">
        <f>D4-C4</f>
        <v>-6.9298467649458573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>
        <f>D21</f>
        <v>14.599345888170209</v>
      </c>
      <c r="E5" s="27">
        <f>D5-C5</f>
        <v>-0.40065411182979105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>
        <f>D22</f>
        <v>7.6264969372079809</v>
      </c>
      <c r="E6" s="27">
        <f>D6-C6</f>
        <v>2.6264969372079809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>
        <f>C29</f>
        <v>32.892193364440118</v>
      </c>
      <c r="E9" s="27">
        <f>D9-C9</f>
        <v>2.8921933644401179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>
        <f>C30</f>
        <v>17.097067097143984</v>
      </c>
      <c r="E10" s="27">
        <f>D10-C10</f>
        <v>-2.9029329028560156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>
        <f>C31</f>
        <v>22.082881721849194</v>
      </c>
      <c r="E11" s="27">
        <f>D11-C11</f>
        <v>2.0828817218491942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>
        <f>C32</f>
        <v>27.927857816566704</v>
      </c>
      <c r="E12" s="27">
        <f>D12-C12</f>
        <v>-2.0721421834332965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61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14345774.84</v>
      </c>
      <c r="D19" s="27">
        <f>SUM(Holdings!D35:'Holdings'!D38)</f>
        <v>54.704003939567663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6050000</v>
      </c>
      <c r="D20" s="40">
        <f>Holdings!D40</f>
        <v>23.070153235054143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3828585</v>
      </c>
      <c r="D21" s="27">
        <f>Holdings!D39</f>
        <v>14.599345888170209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2000000</v>
      </c>
      <c r="D22" s="40">
        <f>Holdings!D41</f>
        <v>7.6264969372079809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>
        <f>Holdings!C35/C19*100</f>
        <v>32.892193364440118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>
        <f>Holdings!C36/C19*100</f>
        <v>17.097067097143984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>
        <f>Holdings!C37/C19*100</f>
        <v>22.082881721849194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>
        <f>Holdings!C38/C19*100</f>
        <v>27.927857816566704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topLeftCell="A7" zoomScale="80" zoomScaleNormal="80" workbookViewId="0">
      <selection activeCell="D20" sqref="D20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53" t="s">
        <v>18</v>
      </c>
      <c r="B1" s="54"/>
      <c r="C1" s="55"/>
      <c r="D1" s="54"/>
      <c r="E1" s="55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6" t="s">
        <v>10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33000</v>
      </c>
      <c r="E4" s="22">
        <f>H4/(SUM(H4:H7))*100</f>
        <v>22.449265042469865</v>
      </c>
      <c r="F4" s="9">
        <v>32.1</v>
      </c>
      <c r="G4" s="9">
        <f>F4+2</f>
        <v>34.1</v>
      </c>
      <c r="H4" s="9">
        <f>D4*F4</f>
        <v>1059300</v>
      </c>
      <c r="I4" s="10">
        <f>D4*G4</f>
        <v>1125300</v>
      </c>
      <c r="J4" s="10">
        <f>I4-H4</f>
        <v>66000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15000</v>
      </c>
      <c r="E5" s="22">
        <f>H5/(SUM(H4:H7))*100</f>
        <v>23.603199226895885</v>
      </c>
      <c r="F5" s="11">
        <v>74.25</v>
      </c>
      <c r="G5" s="9">
        <f>F5+2</f>
        <v>76.25</v>
      </c>
      <c r="H5" s="11">
        <f>D5*F5</f>
        <v>1113750</v>
      </c>
      <c r="I5" s="10">
        <f>D5*G5</f>
        <v>1143750</v>
      </c>
      <c r="J5" s="10">
        <f>I5-H5</f>
        <v>30000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19000</v>
      </c>
      <c r="E6" s="22">
        <f>H6/(SUM(H4:H7))*100</f>
        <v>26.877447739179082</v>
      </c>
      <c r="F6" s="9">
        <v>66.75</v>
      </c>
      <c r="G6" s="9">
        <f>F6+2</f>
        <v>68.75</v>
      </c>
      <c r="H6" s="9">
        <f>D6*F6</f>
        <v>1268250</v>
      </c>
      <c r="I6" s="10">
        <f>D6*G6</f>
        <v>1306250</v>
      </c>
      <c r="J6" s="10">
        <f>I6-H6</f>
        <v>38000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14640</v>
      </c>
      <c r="E7" s="22">
        <f>H7/(SUM(H4:H7))*100</f>
        <v>27.070087991455168</v>
      </c>
      <c r="F7" s="11">
        <v>87.25</v>
      </c>
      <c r="G7" s="9">
        <f>F7+2</f>
        <v>89.25</v>
      </c>
      <c r="H7" s="11">
        <f>D7*F7</f>
        <v>1277340</v>
      </c>
      <c r="I7" s="10">
        <f>D7*G7</f>
        <v>1306620</v>
      </c>
      <c r="J7" s="10">
        <f>I7-H7</f>
        <v>29280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6" t="s">
        <v>33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80285</v>
      </c>
      <c r="E10" s="22">
        <f>H10/H10*100</f>
        <v>100</v>
      </c>
      <c r="F10" s="9">
        <v>30.55</v>
      </c>
      <c r="G10" s="9">
        <f>F10+2</f>
        <v>32.549999999999997</v>
      </c>
      <c r="H10" s="9">
        <f>D10*F10</f>
        <v>2452706.75</v>
      </c>
      <c r="I10" s="10">
        <f>D10*G10</f>
        <v>2613276.75</v>
      </c>
      <c r="J10" s="10">
        <f>I10-H10</f>
        <v>160570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6" t="s">
        <v>12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4812</v>
      </c>
      <c r="E13" s="22">
        <f>H13/(SUM(H13:H15))*100</f>
        <v>54.682500159590056</v>
      </c>
      <c r="F13" s="12">
        <v>360</v>
      </c>
      <c r="G13" s="9">
        <f>F13+2</f>
        <v>362</v>
      </c>
      <c r="H13" s="12">
        <f>D13*F13</f>
        <v>1732320</v>
      </c>
      <c r="I13" s="10">
        <f>D13*G13</f>
        <v>1741944</v>
      </c>
      <c r="J13" s="10">
        <f>I13-H13</f>
        <v>9624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195596</v>
      </c>
      <c r="E14" s="22">
        <f>H14/(SUM(H13:H15))*100</f>
        <v>25.869869355599196</v>
      </c>
      <c r="F14" s="9">
        <v>4.1900000000000004</v>
      </c>
      <c r="G14" s="9">
        <f>F14+2</f>
        <v>6.19</v>
      </c>
      <c r="H14" s="9">
        <f>D14*F14</f>
        <v>819547.24000000011</v>
      </c>
      <c r="I14" s="10">
        <f>D14*G14</f>
        <v>1210739.24</v>
      </c>
      <c r="J14" s="10">
        <f>I14-H14</f>
        <v>391191.99999999988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47945</v>
      </c>
      <c r="E15" s="22">
        <f>H15/(SUM(H13:H15))*100</f>
        <v>19.447630484810748</v>
      </c>
      <c r="F15" s="12">
        <v>12.85</v>
      </c>
      <c r="G15" s="9">
        <f>F15+2</f>
        <v>14.85</v>
      </c>
      <c r="H15" s="12">
        <f>D15*F15</f>
        <v>616093.25</v>
      </c>
      <c r="I15" s="10">
        <f>D15*G15</f>
        <v>711983.25</v>
      </c>
      <c r="J15" s="10">
        <f>I15-H15</f>
        <v>95890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6" t="s">
        <v>13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99700</v>
      </c>
      <c r="E18" s="22">
        <f>H18/(SUM(H18:H20))*100</f>
        <v>22.844213191690358</v>
      </c>
      <c r="F18" s="9">
        <v>9.18</v>
      </c>
      <c r="G18" s="9">
        <f>F18+2</f>
        <v>11.18</v>
      </c>
      <c r="H18" s="9">
        <f>D18*F18</f>
        <v>915246</v>
      </c>
      <c r="I18" s="10">
        <f>D18*G18</f>
        <v>1114646</v>
      </c>
      <c r="J18" s="10">
        <f>I18-H18</f>
        <v>199400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91836</v>
      </c>
      <c r="E19" s="22">
        <f>H19/(SUM(H18:H20))*100</f>
        <v>35.185174092010627</v>
      </c>
      <c r="F19" s="12">
        <v>15.35</v>
      </c>
      <c r="G19" s="9">
        <f>F19+2</f>
        <v>17.350000000000001</v>
      </c>
      <c r="H19" s="12">
        <f>D19*F19</f>
        <v>1409682.5999999999</v>
      </c>
      <c r="I19" s="14">
        <f>D19*G19</f>
        <v>1593354.6</v>
      </c>
      <c r="J19" s="10">
        <f>I19-H19</f>
        <v>183672.00000000023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30298</v>
      </c>
      <c r="E20" s="22">
        <f t="shared" ref="E20" si="0">H20/(SUM(H18:H20))*100</f>
        <v>41.970612716299023</v>
      </c>
      <c r="F20" s="9">
        <v>55.5</v>
      </c>
      <c r="G20" s="9">
        <f>F20+2</f>
        <v>57.5</v>
      </c>
      <c r="H20" s="9">
        <f>D20*F20</f>
        <v>1681539</v>
      </c>
      <c r="I20" s="10">
        <f>D20*G20</f>
        <v>1742135</v>
      </c>
      <c r="J20" s="10">
        <f>I20-H20</f>
        <v>60596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6" t="s">
        <v>41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52</v>
      </c>
      <c r="E23" s="22">
        <f>H23/(SUM(H23:H24))*100</f>
        <v>70.952584309869053</v>
      </c>
      <c r="F23" s="9">
        <v>52240</v>
      </c>
      <c r="G23" s="9">
        <f>F23+2</f>
        <v>52242</v>
      </c>
      <c r="H23" s="9">
        <f>D23*F23</f>
        <v>2716480</v>
      </c>
      <c r="I23" s="10">
        <f>D23*G23</f>
        <v>2716584</v>
      </c>
      <c r="J23" s="10">
        <f>I23-H23</f>
        <v>104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97</v>
      </c>
      <c r="E24" s="22">
        <f>H24/(SUM(H23:H24))*100</f>
        <v>29.047415690130951</v>
      </c>
      <c r="F24" s="12">
        <v>11465</v>
      </c>
      <c r="G24" s="9">
        <f>F24+2</f>
        <v>11467</v>
      </c>
      <c r="H24" s="12">
        <f>D24*F24</f>
        <v>1112105</v>
      </c>
      <c r="I24" s="10">
        <f>D24*G24</f>
        <v>1112299</v>
      </c>
      <c r="J24" s="10">
        <f>I24-H24</f>
        <v>194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6" t="s">
        <v>45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121</v>
      </c>
      <c r="E27" s="22">
        <f>D27/D27*100</f>
        <v>100</v>
      </c>
      <c r="F27" s="9">
        <v>50000</v>
      </c>
      <c r="G27" s="9">
        <f>F27</f>
        <v>50000</v>
      </c>
      <c r="H27" s="9">
        <f>D27*F27</f>
        <v>6050000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6" t="s">
        <v>46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2</v>
      </c>
      <c r="E30" s="24">
        <f>D30/D30*100</f>
        <v>100</v>
      </c>
      <c r="F30" s="12">
        <v>1000000</v>
      </c>
      <c r="G30" s="12">
        <f>F30</f>
        <v>1000000</v>
      </c>
      <c r="H30" s="12">
        <f>D30*F30</f>
        <v>2000000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60" t="s">
        <v>49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58" t="s">
        <v>52</v>
      </c>
      <c r="F34" s="59"/>
      <c r="G34" s="59"/>
      <c r="H34" s="59"/>
      <c r="I34" s="59"/>
      <c r="J34" s="59"/>
      <c r="K34" s="59"/>
      <c r="L34" s="59"/>
      <c r="M34" s="59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4718640</v>
      </c>
      <c r="D35" s="25">
        <f>C35/C45*100</f>
        <v>17.993346753893537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2452706.75</v>
      </c>
      <c r="D36" s="25">
        <f>C36/C45*100</f>
        <v>9.3527802583721709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3167960.49</v>
      </c>
      <c r="D37" s="25">
        <f>C37/C45*100</f>
        <v>12.08022048709045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4006467.5999999996</v>
      </c>
      <c r="D38" s="25">
        <f>C38/C45*100</f>
        <v>15.277656440211507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3828585</v>
      </c>
      <c r="D39" s="25">
        <f>C39/C45*100</f>
        <v>14.599345888170209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6050000</v>
      </c>
      <c r="D40" s="25">
        <f>C40/C45*100</f>
        <v>23.070153235054143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2000000</v>
      </c>
      <c r="D41" s="25">
        <f>C41/C45*100</f>
        <v>7.6264969372079809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14345774.84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26224359.84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5" sqref="B5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33000</v>
      </c>
      <c r="E2" s="14"/>
    </row>
    <row r="3" spans="1:5" x14ac:dyDescent="0.35">
      <c r="A3" s="14"/>
      <c r="B3" s="14" t="s">
        <v>30</v>
      </c>
      <c r="C3" s="14"/>
      <c r="D3" s="14">
        <f>Holdings!D5</f>
        <v>15000</v>
      </c>
      <c r="E3" s="14"/>
    </row>
    <row r="4" spans="1:5" x14ac:dyDescent="0.35">
      <c r="A4" s="14"/>
      <c r="B4" s="14" t="s">
        <v>31</v>
      </c>
      <c r="C4" s="14"/>
      <c r="D4" s="14">
        <f>Holdings!D6</f>
        <v>19000</v>
      </c>
      <c r="E4" s="14"/>
    </row>
    <row r="5" spans="1:5" x14ac:dyDescent="0.35">
      <c r="A5" s="14"/>
      <c r="B5" s="14" t="s">
        <v>32</v>
      </c>
      <c r="C5" s="14"/>
      <c r="D5" s="14">
        <f>Holdings!D7</f>
        <v>14640</v>
      </c>
      <c r="E5" s="14"/>
    </row>
    <row r="6" spans="1:5" x14ac:dyDescent="0.35">
      <c r="A6" s="14"/>
      <c r="B6" s="14" t="s">
        <v>34</v>
      </c>
      <c r="C6" s="14"/>
      <c r="D6" s="14">
        <f>Holdings!D10</f>
        <v>80285</v>
      </c>
      <c r="E6" s="14"/>
    </row>
    <row r="7" spans="1:5" x14ac:dyDescent="0.35">
      <c r="A7" s="14"/>
      <c r="B7" s="14" t="s">
        <v>35</v>
      </c>
      <c r="C7" s="14"/>
      <c r="D7" s="14">
        <f>Holdings!D13</f>
        <v>4812</v>
      </c>
      <c r="E7" s="14"/>
    </row>
    <row r="8" spans="1:5" x14ac:dyDescent="0.35">
      <c r="A8" s="14"/>
      <c r="B8" s="14" t="s">
        <v>36</v>
      </c>
      <c r="C8" s="14"/>
      <c r="D8" s="14">
        <f>Holdings!D14</f>
        <v>195596</v>
      </c>
      <c r="E8" s="14"/>
    </row>
    <row r="9" spans="1:5" x14ac:dyDescent="0.35">
      <c r="A9" s="14"/>
      <c r="B9" s="14" t="s">
        <v>58</v>
      </c>
      <c r="C9" s="14"/>
      <c r="D9" s="14">
        <f>Holdings!D15</f>
        <v>47945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99700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91836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30298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52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97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:B32"/>
  <sheetViews>
    <sheetView workbookViewId="0"/>
  </sheetViews>
  <sheetFormatPr defaultRowHeight="14.5" x14ac:dyDescent="0.35"/>
  <sheetData>
    <row r="25" spans="1:2" x14ac:dyDescent="0.35">
      <c r="A25" t="s">
        <v>20</v>
      </c>
      <c r="B25" t="s">
        <v>62</v>
      </c>
    </row>
    <row r="26" spans="1:2" x14ac:dyDescent="0.35">
      <c r="A26" t="s">
        <v>10</v>
      </c>
      <c r="B26">
        <v>22.623430735769151</v>
      </c>
    </row>
    <row r="27" spans="1:2" x14ac:dyDescent="0.35">
      <c r="A27" t="s">
        <v>48</v>
      </c>
      <c r="B27">
        <v>0</v>
      </c>
    </row>
    <row r="28" spans="1:2" x14ac:dyDescent="0.35">
      <c r="A28" t="s">
        <v>43</v>
      </c>
      <c r="B28">
        <v>19.118726125497059</v>
      </c>
    </row>
    <row r="29" spans="1:2" x14ac:dyDescent="0.35">
      <c r="A29" t="s">
        <v>13</v>
      </c>
      <c r="B29">
        <v>11.10385982733133</v>
      </c>
    </row>
    <row r="30" spans="1:2" x14ac:dyDescent="0.35">
      <c r="A30" t="s">
        <v>45</v>
      </c>
      <c r="B30">
        <v>0</v>
      </c>
    </row>
    <row r="31" spans="1:2" x14ac:dyDescent="0.35">
      <c r="A31" t="s">
        <v>12</v>
      </c>
      <c r="B31">
        <v>16.308517246964168</v>
      </c>
    </row>
    <row r="32" spans="1:2" x14ac:dyDescent="0.35">
      <c r="A32" t="s">
        <v>11</v>
      </c>
      <c r="B32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Holdings</vt:lpstr>
      <vt:lpstr>Dividend Tracking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2026-05-31T18:49:45Z</dcterms:modified>
</cp:coreProperties>
</file>