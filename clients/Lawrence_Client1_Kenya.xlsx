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clients/"/>
    </mc:Choice>
  </mc:AlternateContent>
  <xr:revisionPtr revIDLastSave="23" documentId="11_09C9AF2A7231FE99B5EDE0B00038F1AF6A203683" xr6:coauthVersionLast="47" xr6:coauthVersionMax="47" xr10:uidLastSave="{EBA75CCE-9709-4313-9CBD-B56D9C4D487F}"/>
  <bookViews>
    <workbookView xWindow="9510" yWindow="0" windowWidth="9780" windowHeight="1017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G23" i="2"/>
  <c r="I23" i="2" s="1"/>
  <c r="J23" i="2" s="1"/>
  <c r="H20" i="2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H10" i="2"/>
  <c r="G10" i="2"/>
  <c r="I10" i="2" s="1"/>
  <c r="J10" i="2" s="1"/>
  <c r="H7" i="2"/>
  <c r="G7" i="2"/>
  <c r="I7" i="2" s="1"/>
  <c r="H6" i="2"/>
  <c r="G6" i="2"/>
  <c r="I6" i="2" s="1"/>
  <c r="H5" i="2"/>
  <c r="G5" i="2"/>
  <c r="I5" i="2" s="1"/>
  <c r="J5" i="2" s="1"/>
  <c r="H4" i="2"/>
  <c r="G4" i="2"/>
  <c r="I4" i="2" s="1"/>
  <c r="J6" i="2" l="1"/>
  <c r="J4" i="2"/>
  <c r="J7" i="2"/>
  <c r="C40" i="2"/>
  <c r="E23" i="2"/>
  <c r="E20" i="2"/>
  <c r="J13" i="2"/>
  <c r="C39" i="2"/>
  <c r="E24" i="2"/>
  <c r="C35" i="2"/>
  <c r="E19" i="2"/>
  <c r="E18" i="2"/>
  <c r="E14" i="2"/>
  <c r="E13" i="2"/>
  <c r="E10" i="2"/>
  <c r="C36" i="2"/>
  <c r="E7" i="2"/>
  <c r="E6" i="2"/>
  <c r="E5" i="2"/>
  <c r="E4" i="2"/>
  <c r="C37" i="2"/>
  <c r="J14" i="2"/>
  <c r="C22" i="1"/>
  <c r="C20" i="1" l="1"/>
  <c r="C21" i="1"/>
  <c r="C45" i="2"/>
  <c r="C43" i="2"/>
  <c r="C19" i="1" s="1"/>
  <c r="D36" i="2" l="1"/>
  <c r="D41" i="2"/>
  <c r="D22" i="1" s="1"/>
  <c r="D6" i="1" s="1"/>
  <c r="E6" i="1" s="1"/>
  <c r="D39" i="2"/>
  <c r="D21" i="1" s="1"/>
  <c r="D5" i="1" s="1"/>
  <c r="E5" i="1" s="1"/>
  <c r="D38" i="2"/>
  <c r="D37" i="2"/>
  <c r="D40" i="2"/>
  <c r="D20" i="1" s="1"/>
  <c r="D4" i="1" s="1"/>
  <c r="E4" i="1" s="1"/>
  <c r="D35" i="2"/>
  <c r="C31" i="1"/>
  <c r="D11" i="1" s="1"/>
  <c r="E11" i="1" s="1"/>
  <c r="C30" i="1"/>
  <c r="D10" i="1" s="1"/>
  <c r="E10" i="1" s="1"/>
  <c r="C32" i="1"/>
  <c r="D12" i="1" s="1"/>
  <c r="E12" i="1" s="1"/>
  <c r="C29" i="1"/>
  <c r="D9" i="1" s="1"/>
  <c r="E9" i="1" s="1"/>
  <c r="D19" i="1" l="1"/>
  <c r="D3" i="1" s="1"/>
  <c r="E3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<sst xmlns="http://schemas.openxmlformats.org/spreadsheetml/2006/main" count="121" uniqueCount="63">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</sst>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0" xfId="0"/>
    <xf numFmtId="0" fontId="12" fillId="3" borderId="0" xfId="0" applyFont="1" applyFill="1" applyAlignment="1">
      <alignment horizontal="center"/>
    </xf>
    <xf numFmtId="0" fontId="0" fillId="6" borderId="0" xfId="0" applyFill="1"/>
    <xf numFmtId="0" fontId="3" fillId="8" borderId="0" xfId="0" applyFont="1" applyFill="1" applyAlignment="1">
      <alignment horizontal="center"/>
    </xf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27.324233250121559</c:v>
                </c:pt>
                <c:pt idx="1">
                  <c:v>17.854820150320688</c:v>
                </c:pt>
                <c:pt idx="2">
                  <c:v>23.75795897143372</c:v>
                </c:pt>
                <c:pt idx="3">
                  <c:v>31.062987628124045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47.207863220290001</c:v>
                </c:pt>
                <c:pt idx="1">
                  <c:v>25.59538256420791</c:v>
                </c:pt>
                <c:pt idx="2">
                  <c:v>13.361412288903225</c:v>
                </c:pt>
                <c:pt idx="3">
                  <c:v>13.835341926598868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12.899186658710384</c:v>
                </c:pt>
                <c:pt idx="1">
                  <c:v>8.4288790747921674</c:v>
                </c:pt>
                <c:pt idx="2">
                  <c:v>11.215624775167047</c:v>
                </c:pt>
                <c:pt idx="3">
                  <c:v>14.664172711620404</c:v>
                </c:pt>
                <c:pt idx="4">
                  <c:v>13.361412288903225</c:v>
                </c:pt>
                <c:pt idx="5">
                  <c:v>25.59538256420791</c:v>
                </c:pt>
                <c:pt idx="6">
                  <c:v>13.835341926598868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zoomScale="85" zoomScaleNormal="85" workbookViewId="0">
      <selection activeCell="E9" sqref="E9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47.207863220290001</v>
      </c>
      <c r="E3" s="27">
        <f>D3-C3</f>
        <v>-2.792136779709999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25.59538256420791</v>
      </c>
      <c r="E4" s="27">
        <f>D4-C4</f>
        <v>-4.4046174357920904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13.361412288903225</v>
      </c>
      <c r="E5" s="27">
        <f>D5-C5</f>
        <v>-1.6385877110967755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13.835341926598868</v>
      </c>
      <c r="E6" s="27">
        <f>D6-C6</f>
        <v>8.8353419265988684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27.324233250121559</v>
      </c>
      <c r="E9" s="27">
        <f>D9-C9</f>
        <v>-2.6757667498784414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17.854820150320688</v>
      </c>
      <c r="E10" s="27">
        <f>D10-C10</f>
        <v>-2.1451798496793124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23.75795897143372</v>
      </c>
      <c r="E11" s="27">
        <f>D11-C11</f>
        <v>3.7579589714337196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31.062987628124045</v>
      </c>
      <c r="E12" s="27">
        <f>D12-C12</f>
        <v>1.0629876281240449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53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6824242.3599999994</v>
      </c>
      <c r="D19" s="27">
        <f>SUM(Holdings!D35:'Holdings'!D38)</f>
        <v>47.207863220290001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3700000</v>
      </c>
      <c r="D20" s="40">
        <f>Holdings!D40</f>
        <v>25.59538256420791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1931490</v>
      </c>
      <c r="D21" s="27">
        <f>Holdings!D39</f>
        <v>13.361412288903225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13.835341926598868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27.324233250121559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17.854820150320688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23.75795897143372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31.062987628124045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topLeftCell="A2" zoomScale="80" zoomScaleNormal="80" workbookViewId="0">
      <selection activeCell="D7" sqref="D7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7" t="s">
        <v>18</v>
      </c>
      <c r="B1" s="54"/>
      <c r="C1" s="58"/>
      <c r="D1" s="54"/>
      <c r="E1" s="58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9" t="s">
        <v>10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15909</v>
      </c>
      <c r="E4" s="22">
        <f>H4/(SUM(H4:H7))*100</f>
        <v>27.387064716318193</v>
      </c>
      <c r="F4" s="9">
        <v>32.1</v>
      </c>
      <c r="G4" s="9">
        <f>F4+2</f>
        <v>34.1</v>
      </c>
      <c r="H4" s="9">
        <f>D4*F4</f>
        <v>510678.9</v>
      </c>
      <c r="I4" s="10">
        <f>D4*G4</f>
        <v>542496.9</v>
      </c>
      <c r="J4" s="10">
        <f>I4-H4</f>
        <v>31818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7733</v>
      </c>
      <c r="E5" s="22">
        <f>H5/(SUM(H4:H7))*100</f>
        <v>30.792293807827537</v>
      </c>
      <c r="F5" s="11">
        <v>74.25</v>
      </c>
      <c r="G5" s="9">
        <f>F5+2</f>
        <v>76.25</v>
      </c>
      <c r="H5" s="11">
        <f>D5*F5</f>
        <v>574175.25</v>
      </c>
      <c r="I5" s="10">
        <f>D5*G5</f>
        <v>589641.25</v>
      </c>
      <c r="J5" s="10">
        <f>I5-H5</f>
        <v>15466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9522</v>
      </c>
      <c r="E6" s="22">
        <f>H6/(SUM(H4:H7))*100</f>
        <v>34.08607701976954</v>
      </c>
      <c r="F6" s="9">
        <v>66.75</v>
      </c>
      <c r="G6" s="9">
        <f>F6+2</f>
        <v>68.75</v>
      </c>
      <c r="H6" s="9">
        <f>D6*F6</f>
        <v>635593.5</v>
      </c>
      <c r="I6" s="10">
        <f>D6*G6</f>
        <v>654637.5</v>
      </c>
      <c r="J6" s="10">
        <f>I6-H6</f>
        <v>19044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1653</v>
      </c>
      <c r="E7" s="22">
        <f>H7/(SUM(H4:H7))*100</f>
        <v>7.7345644560847413</v>
      </c>
      <c r="F7" s="11">
        <v>87.25</v>
      </c>
      <c r="G7" s="9">
        <f>F7+2</f>
        <v>89.25</v>
      </c>
      <c r="H7" s="11">
        <f>D7*F7</f>
        <v>144224.25</v>
      </c>
      <c r="I7" s="10">
        <f>D7*G7</f>
        <v>147530.25</v>
      </c>
      <c r="J7" s="10">
        <f>I7-H7</f>
        <v>3306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9" t="s">
        <v>33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39884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1218456.2</v>
      </c>
      <c r="I10" s="10">
        <f>D10*G10</f>
        <v>1298224.2</v>
      </c>
      <c r="J10" s="10">
        <f>I10-H10</f>
        <v>79768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9" t="s">
        <v>12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2253</v>
      </c>
      <c r="E13" s="22">
        <f>H13/(SUM(H13:H15))*100</f>
        <v>50.02650032779237</v>
      </c>
      <c r="F13" s="12">
        <v>360</v>
      </c>
      <c r="G13" s="9">
        <f>F13+2</f>
        <v>362</v>
      </c>
      <c r="H13" s="12">
        <f>D13*F13</f>
        <v>811080</v>
      </c>
      <c r="I13" s="10">
        <f>D13*G13</f>
        <v>815586</v>
      </c>
      <c r="J13" s="10">
        <f>I13-H13</f>
        <v>4506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104150</v>
      </c>
      <c r="E14" s="22">
        <f>H14/(SUM(H13:H15))*100</f>
        <v>26.915950878205386</v>
      </c>
      <c r="F14" s="9">
        <v>4.1900000000000004</v>
      </c>
      <c r="G14" s="9">
        <f>F14+2</f>
        <v>6.19</v>
      </c>
      <c r="H14" s="9">
        <f>D14*F14</f>
        <v>436388.50000000006</v>
      </c>
      <c r="I14" s="10">
        <f>D14*G14</f>
        <v>644688.5</v>
      </c>
      <c r="J14" s="10">
        <f>I14-H14</f>
        <v>208299.99999999994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29092</v>
      </c>
      <c r="E15" s="22">
        <f>H15/(SUM(H13:H15))*100</f>
        <v>23.057548794002251</v>
      </c>
      <c r="F15" s="12">
        <v>12.85</v>
      </c>
      <c r="G15" s="9">
        <f>F15+2</f>
        <v>14.85</v>
      </c>
      <c r="H15" s="12">
        <f>D15*F15</f>
        <v>373832.2</v>
      </c>
      <c r="I15" s="10">
        <f>D15*G15</f>
        <v>432016.2</v>
      </c>
      <c r="J15" s="10">
        <f>I15-H15</f>
        <v>58184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9" t="s">
        <v>13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44757</v>
      </c>
      <c r="E18" s="22">
        <f>H18/(SUM(H18:H20))*100</f>
        <v>19.382330019626821</v>
      </c>
      <c r="F18" s="9">
        <v>9.18</v>
      </c>
      <c r="G18" s="9">
        <f>F18+2</f>
        <v>11.18</v>
      </c>
      <c r="H18" s="9">
        <f>D18*F18</f>
        <v>410869.26</v>
      </c>
      <c r="I18" s="10">
        <f>D18*G18</f>
        <v>500383.26</v>
      </c>
      <c r="J18" s="10">
        <f>I18-H18</f>
        <v>89514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49848</v>
      </c>
      <c r="E19" s="22">
        <f>H19/(SUM(H18:H20))*100</f>
        <v>36.09594798516148</v>
      </c>
      <c r="F19" s="12">
        <v>15.35</v>
      </c>
      <c r="G19" s="9">
        <f>F19+2</f>
        <v>17.350000000000001</v>
      </c>
      <c r="H19" s="12">
        <f>D19*F19</f>
        <v>765166.79999999993</v>
      </c>
      <c r="I19" s="14">
        <f>D19*G19</f>
        <v>864862.8</v>
      </c>
      <c r="J19" s="10">
        <f>I19-H19</f>
        <v>99696.000000000116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17005</v>
      </c>
      <c r="E20" s="22">
        <f t="shared" ref="E20" si="0">H20/(SUM(H18:H20))*100</f>
        <v>44.521721995211685</v>
      </c>
      <c r="F20" s="9">
        <v>55.5</v>
      </c>
      <c r="G20" s="9">
        <f>F20+2</f>
        <v>57.5</v>
      </c>
      <c r="H20" s="9">
        <f>D20*F20</f>
        <v>943777.5</v>
      </c>
      <c r="I20" s="10">
        <f>D20*G20</f>
        <v>977787.5</v>
      </c>
      <c r="J20" s="10">
        <f>I20-H20</f>
        <v>34010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9" t="s">
        <v>41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26</v>
      </c>
      <c r="E23" s="22">
        <f>H23/(SUM(H23:H24))*100</f>
        <v>70.320840387472884</v>
      </c>
      <c r="F23" s="9">
        <v>52240</v>
      </c>
      <c r="G23" s="9">
        <f>F23+2</f>
        <v>52242</v>
      </c>
      <c r="H23" s="9">
        <f>D23*F23</f>
        <v>1358240</v>
      </c>
      <c r="I23" s="10">
        <f>D23*G23</f>
        <v>1358292</v>
      </c>
      <c r="J23" s="10">
        <f>I23-H23</f>
        <v>52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50</v>
      </c>
      <c r="E24" s="22">
        <f>H24/(SUM(H23:H24))*100</f>
        <v>29.679159612527116</v>
      </c>
      <c r="F24" s="12">
        <v>11465</v>
      </c>
      <c r="G24" s="9">
        <f>F24+2</f>
        <v>11467</v>
      </c>
      <c r="H24" s="12">
        <f>D24*F24</f>
        <v>573250</v>
      </c>
      <c r="I24" s="10">
        <f>D24*G24</f>
        <v>573350</v>
      </c>
      <c r="J24" s="10">
        <f>I24-H24</f>
        <v>100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9" t="s">
        <v>45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74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3700000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9" t="s">
        <v>46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2" t="s">
        <v>49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61" t="s">
        <v>52</v>
      </c>
      <c r="F34" s="56"/>
      <c r="G34" s="56"/>
      <c r="H34" s="56"/>
      <c r="I34" s="56"/>
      <c r="J34" s="56"/>
      <c r="K34" s="56"/>
      <c r="L34" s="56"/>
      <c r="M34" s="56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1864671.9</v>
      </c>
      <c r="D35" s="25">
        <f>C35/C45*100</f>
        <v>12.899186658710384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1218456.2</v>
      </c>
      <c r="D36" s="25">
        <f>C36/C45*100</f>
        <v>8.4288790747921674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1621300.7</v>
      </c>
      <c r="D37" s="25">
        <f>C37/C45*100</f>
        <v>11.215624775167047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2119813.56</v>
      </c>
      <c r="D38" s="25">
        <f>C38/C45*100</f>
        <v>14.664172711620404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1931490</v>
      </c>
      <c r="D39" s="25">
        <f>C39/C45*100</f>
        <v>13.361412288903225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3700000</v>
      </c>
      <c r="D40" s="25">
        <f>C40/C45*100</f>
        <v>25.59538256420791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13.835341926598868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6824242.3599999994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14455732.359999999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4" sqref="D4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15909</v>
      </c>
      <c r="E2" s="14"/>
    </row>
    <row r="3" spans="1:5" x14ac:dyDescent="0.35">
      <c r="A3" s="14"/>
      <c r="B3" s="14" t="s">
        <v>30</v>
      </c>
      <c r="C3" s="14"/>
      <c r="D3" s="14">
        <f>Holdings!D5</f>
        <v>7733</v>
      </c>
      <c r="E3" s="14"/>
    </row>
    <row r="4" spans="1:5" x14ac:dyDescent="0.35">
      <c r="A4" s="14"/>
      <c r="B4" s="14" t="s">
        <v>31</v>
      </c>
      <c r="C4" s="14"/>
      <c r="D4" s="14">
        <f>Holdings!D6</f>
        <v>9522</v>
      </c>
      <c r="E4" s="14"/>
    </row>
    <row r="5" spans="1:5" x14ac:dyDescent="0.35">
      <c r="A5" s="14"/>
      <c r="B5" s="14" t="s">
        <v>32</v>
      </c>
      <c r="C5" s="14"/>
      <c r="D5" s="14">
        <f>Holdings!D7</f>
        <v>1653</v>
      </c>
      <c r="E5" s="14"/>
    </row>
    <row r="6" spans="1:5" x14ac:dyDescent="0.35">
      <c r="A6" s="14"/>
      <c r="B6" s="14" t="s">
        <v>34</v>
      </c>
      <c r="C6" s="14"/>
      <c r="D6" s="14">
        <f>Holdings!D10</f>
        <v>39884</v>
      </c>
      <c r="E6" s="14"/>
    </row>
    <row r="7" spans="1:5" x14ac:dyDescent="0.35">
      <c r="A7" s="14"/>
      <c r="B7" s="14" t="s">
        <v>35</v>
      </c>
      <c r="C7" s="14"/>
      <c r="D7" s="14">
        <f>Holdings!D13</f>
        <v>2253</v>
      </c>
      <c r="E7" s="14"/>
    </row>
    <row r="8" spans="1:5" x14ac:dyDescent="0.35">
      <c r="A8" s="14"/>
      <c r="B8" s="14" t="s">
        <v>36</v>
      </c>
      <c r="C8" s="14"/>
      <c r="D8" s="14">
        <f>Holdings!D14</f>
        <v>104150</v>
      </c>
      <c r="E8" s="14"/>
    </row>
    <row r="9" spans="1:5" x14ac:dyDescent="0.35">
      <c r="A9" s="14"/>
      <c r="B9" s="14" t="s">
        <v>58</v>
      </c>
      <c r="C9" s="14"/>
      <c r="D9" s="14">
        <f>Holdings!D15</f>
        <v>29092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44757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49848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17005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26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50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2026-06-03T07:01:49Z</dcterms:modified>
</cp:coreProperties>
</file>