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5c1e174b27b94807/Desktop/PortfolioTracker/"/>
    </mc:Choice>
  </mc:AlternateContent>
  <xr:revisionPtr revIDLastSave="1" documentId="11_3B961A3E86E73A3ACAF0C4AF685EC520B062366C" xr6:coauthVersionLast="47" xr6:coauthVersionMax="47" xr10:uidLastSave="{0B320B18-3738-4758-B6C2-E6084FBDF89C}"/>
  <bookViews>
    <workbookView xWindow="-110" yWindow="-110" windowWidth="19420" windowHeight="10300" activeTab="1" xr2:uid="{00000000-000D-0000-FFFF-FFFF00000000}"/>
  </bookViews>
  <sheets>
    <sheet name="Dashboard1" sheetId="1" r:id="rId1"/>
    <sheet name="NSE_Prices" sheetId="2" r:id="rId2"/>
    <sheet name="Transactions" sheetId="3" r:id="rId3"/>
    <sheet name="Portfolio_State" sheetId="4" state="hidden" r:id="rId4"/>
  </sheets>
  <calcPr calcId="0"/>
</workbook>
</file>

<file path=xl/sharedStrings.xml><?xml version="1.0" encoding="utf-8"?>
<sst xmlns="http://schemas.openxmlformats.org/spreadsheetml/2006/main" count="267" uniqueCount="92">
  <si>
    <t>Portfolio Dashboard</t>
  </si>
  <si>
    <t>Metric</t>
  </si>
  <si>
    <t>Value</t>
  </si>
  <si>
    <t>Total Portfolio Value</t>
  </si>
  <si>
    <t>Number of Assets</t>
  </si>
  <si>
    <t>Number of Sectors</t>
  </si>
  <si>
    <t>Asset</t>
  </si>
  <si>
    <t>Market Value</t>
  </si>
  <si>
    <t>Asset Allocation %</t>
  </si>
  <si>
    <t>Co-op Bank</t>
  </si>
  <si>
    <t>Equity</t>
  </si>
  <si>
    <t>KCB</t>
  </si>
  <si>
    <t>NCBA</t>
  </si>
  <si>
    <t>Safaricom</t>
  </si>
  <si>
    <t>Jubilee</t>
  </si>
  <si>
    <t>CIC</t>
  </si>
  <si>
    <t>Britam</t>
  </si>
  <si>
    <t>KenGen</t>
  </si>
  <si>
    <t>Kenya Power</t>
  </si>
  <si>
    <t>Total Energies Marketing</t>
  </si>
  <si>
    <t>VOO / IVV</t>
  </si>
  <si>
    <t>VT</t>
  </si>
  <si>
    <t>Treasury Bonds</t>
  </si>
  <si>
    <t>Money Market Fund</t>
  </si>
  <si>
    <t>Sector</t>
  </si>
  <si>
    <t>Allocation %</t>
  </si>
  <si>
    <t>Banking</t>
  </si>
  <si>
    <t>Cash</t>
  </si>
  <si>
    <t>ETF</t>
  </si>
  <si>
    <t>Energy</t>
  </si>
  <si>
    <t>Fixed Income</t>
  </si>
  <si>
    <t>Insurance</t>
  </si>
  <si>
    <t>Telecom</t>
  </si>
  <si>
    <t>Asset Limit</t>
  </si>
  <si>
    <t>Sector limit / asset count</t>
  </si>
  <si>
    <t>Sector Limit</t>
  </si>
  <si>
    <t>20%</t>
  </si>
  <si>
    <t>Single-Asset Cap</t>
  </si>
  <si>
    <t>10%</t>
  </si>
  <si>
    <t>Asset Violations</t>
  </si>
  <si>
    <t>Sector Violations</t>
  </si>
  <si>
    <t>Diversification Score</t>
  </si>
  <si>
    <t>91 / 100</t>
  </si>
  <si>
    <t>Risk Score</t>
  </si>
  <si>
    <t>Low</t>
  </si>
  <si>
    <t>Asset Limit %</t>
  </si>
  <si>
    <t>Excess %</t>
  </si>
  <si>
    <t>Sector Weight %</t>
  </si>
  <si>
    <t>Limit %</t>
  </si>
  <si>
    <t>Holistic Rebalance Suggestion</t>
  </si>
  <si>
    <t>Action</t>
  </si>
  <si>
    <t>Shares</t>
  </si>
  <si>
    <t>Current Price</t>
  </si>
  <si>
    <t>Estimated Value</t>
  </si>
  <si>
    <t>Reason</t>
  </si>
  <si>
    <t>SELL</t>
  </si>
  <si>
    <t>Reduce asset/sector concentration</t>
  </si>
  <si>
    <t>BUY</t>
  </si>
  <si>
    <t>Redeploy proceeds into an under-limit asset</t>
  </si>
  <si>
    <t>Ticker</t>
  </si>
  <si>
    <t>NSE Price</t>
  </si>
  <si>
    <t>Price Source</t>
  </si>
  <si>
    <t>Last Updated</t>
  </si>
  <si>
    <t>COOP</t>
  </si>
  <si>
    <t>NSE live market data</t>
  </si>
  <si>
    <t>2026-05-31 22:18:38</t>
  </si>
  <si>
    <t>EQTY</t>
  </si>
  <si>
    <t>NSE live market data unavailable</t>
  </si>
  <si>
    <t>SCOM</t>
  </si>
  <si>
    <t>JUB</t>
  </si>
  <si>
    <t>BRIT</t>
  </si>
  <si>
    <t>KEGN</t>
  </si>
  <si>
    <t>KPLC</t>
  </si>
  <si>
    <t>TOTL</t>
  </si>
  <si>
    <t>Manual / non-NSE</t>
  </si>
  <si>
    <t>Date</t>
  </si>
  <si>
    <t>Quantity</t>
  </si>
  <si>
    <t>Price</t>
  </si>
  <si>
    <t>Broker</t>
  </si>
  <si>
    <t>Fees</t>
  </si>
  <si>
    <t>Benefits</t>
  </si>
  <si>
    <t>Realized Gain</t>
  </si>
  <si>
    <t>Unrealized Gain</t>
  </si>
  <si>
    <t>Cost Basis</t>
  </si>
  <si>
    <t>Average Purchase Price</t>
  </si>
  <si>
    <t>Position Quantity</t>
  </si>
  <si>
    <t>2026-05-31 21:41:45</t>
  </si>
  <si>
    <t>OPENING</t>
  </si>
  <si>
    <t>Opening balance</t>
  </si>
  <si>
    <t>2026-05-31 21:46:00</t>
  </si>
  <si>
    <t>2026-05-31 21:50:37</t>
  </si>
  <si>
    <t>Buy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</si>
</sst>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&quot;%&quot;"/>
  </numFmts>
  <fonts count="5" x14ac:knownFonts="1">
    <font>
      <sz val="11"/>
      <color theme="1"/>
      <name val="Calibri"/>
      <family val="2"/>
      <scheme val="minor"/>
    </font>
    <font>
      <b/>
      <sz val="16"/>
      <color rgb="FFF1E9CB"/>
      <name val="Georgia"/>
    </font>
    <font>
      <b/>
      <sz val="11"/>
      <color rgb="FFF1E9CB"/>
      <name val="Georgia"/>
    </font>
    <font>
      <sz val="11"/>
      <color rgb="FF2F332E"/>
      <name val="Georgia"/>
    </font>
    <font>
      <b/>
      <sz val="12"/>
      <color rgb="FFF1E9CB"/>
      <name val="Georgia"/>
    </font>
  </fonts>
  <fills count="6">
    <fill>
      <patternFill patternType="none"/>
    </fill>
    <fill>
      <patternFill patternType="gray125"/>
    </fill>
    <fill>
      <patternFill patternType="solid">
        <fgColor rgb="FF3B4436"/>
      </patternFill>
    </fill>
    <fill>
      <patternFill patternType="solid">
        <fgColor rgb="FFE6DFD3"/>
      </patternFill>
    </fill>
    <fill>
      <patternFill patternType="solid">
        <fgColor rgb="FFFDFBF7"/>
      </patternFill>
    </fill>
    <fill>
      <patternFill patternType="solid">
        <fgColor rgb="FFEAECE6"/>
      </patternFill>
    </fill>
  </fills>
  <borders count="2">
    <border>
      <left/>
      <right/>
      <top/>
      <bottom/>
      <diagonal/>
    </border>
    <border>
      <left style="thin">
        <color rgb="FFB8AA91"/>
      </left>
      <right style="thin">
        <color rgb="FFB8AA91"/>
      </right>
      <top style="thin">
        <color rgb="FFB8AA91"/>
      </top>
      <bottom style="thin">
        <color rgb="FFB8AA9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4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4" fontId="3" fillId="4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3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3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4" fontId="3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4" fontId="3" fillId="4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Asset Allocation</a:t>
            </a:r>
          </a:p>
        </c:rich>
      </c:tx>
      <c:layout>
        <c:manualLayout>
          <c:xMode val="edge"/>
          <c:yMode val="edge"/>
          <c:x val="3.7677991452991451E-2"/>
          <c:y val="2.7438271604938273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Dashboard1!$C$9</c:f>
              <c:strCache>
                <c:ptCount val="1"/>
                <c:pt idx="0">
                  <c:v>Asset Allocation %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hade val="51000"/>
                      <a:satMod val="130000"/>
                    </a:schemeClr>
                  </a:gs>
                  <a:gs pos="80000">
                    <a:schemeClr val="accent6">
                      <a:shade val="93000"/>
                      <a:satMod val="130000"/>
                    </a:schemeClr>
                  </a:gs>
                  <a:gs pos="100000">
                    <a:schemeClr val="accent6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4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4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5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5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6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6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2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2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80000"/>
                      <a:lumOff val="2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80000"/>
                      <a:lumOff val="2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dPt>
          <c:cat>
            <c:strRef>
              <c:f>Dashboard1!$A$10:$A$24</c:f>
              <c:strCache>
                <c:ptCount val="15"/>
                <c:pt idx="0">
                  <c:v>Co-op Bank</c:v>
                </c:pt>
                <c:pt idx="1">
                  <c:v>Equity</c:v>
                </c:pt>
                <c:pt idx="2">
                  <c:v>KCB</c:v>
                </c:pt>
                <c:pt idx="3">
                  <c:v>NCBA</c:v>
                </c:pt>
                <c:pt idx="4">
                  <c:v>Safaricom</c:v>
                </c:pt>
                <c:pt idx="5">
                  <c:v>Jubilee</c:v>
                </c:pt>
                <c:pt idx="6">
                  <c:v>CIC</c:v>
                </c:pt>
                <c:pt idx="7">
                  <c:v>Britam</c:v>
                </c:pt>
                <c:pt idx="8">
                  <c:v>KenGen</c:v>
                </c:pt>
                <c:pt idx="9">
                  <c:v>Kenya Power</c:v>
                </c:pt>
                <c:pt idx="10">
                  <c:v>Total Energies Marketing</c:v>
                </c:pt>
                <c:pt idx="11">
                  <c:v>VOO / IVV</c:v>
                </c:pt>
                <c:pt idx="12">
                  <c:v>VT</c:v>
                </c:pt>
                <c:pt idx="13">
                  <c:v>Treasury Bonds</c:v>
                </c:pt>
                <c:pt idx="14">
                  <c:v>Money Market Fund</c:v>
                </c:pt>
              </c:strCache>
            </c:strRef>
          </c:cat>
          <c:val>
            <c:numRef>
              <c:f>Dashboard1!$C$10:$C$24</c:f>
              <c:numCache>
                <c:formatCode>0.00"%"</c:formatCode>
                <c:ptCount val="15"/>
                <c:pt idx="0">
                  <c:v>4.0691500144372243</c:v>
                </c:pt>
                <c:pt idx="1">
                  <c:v>4.2783119310671749</c:v>
                </c:pt>
                <c:pt idx="2">
                  <c:v>5.0177732524861929</c:v>
                </c:pt>
                <c:pt idx="3">
                  <c:v>4.9067196067603547</c:v>
                </c:pt>
                <c:pt idx="4">
                  <c:v>9.4217235034199724</c:v>
                </c:pt>
                <c:pt idx="5">
                  <c:v>6.7884738880048738</c:v>
                </c:pt>
                <c:pt idx="6">
                  <c:v>3.1481739483413458</c:v>
                </c:pt>
                <c:pt idx="7">
                  <c:v>2.2653387978277828</c:v>
                </c:pt>
                <c:pt idx="8">
                  <c:v>3.4928080984869698</c:v>
                </c:pt>
                <c:pt idx="9">
                  <c:v>5.6267597928607733</c:v>
                </c:pt>
                <c:pt idx="10">
                  <c:v>5.3537306979338002</c:v>
                </c:pt>
                <c:pt idx="11">
                  <c:v>10.435370360445511</c:v>
                </c:pt>
                <c:pt idx="12">
                  <c:v>4.272738121314557</c:v>
                </c:pt>
                <c:pt idx="13">
                  <c:v>23.240212958883419</c:v>
                </c:pt>
                <c:pt idx="14">
                  <c:v>7.6827150277300564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B6-4FBD-B8E2-CA04815E7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tx1">
        <a:lumMod val="95000"/>
        <a:lumOff val="5000"/>
      </a:schemeClr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Sector Allocation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Dashboard1!$B$27</c:f>
              <c:strCache>
                <c:ptCount val="1"/>
                <c:pt idx="0">
                  <c:v>Allocation %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Dashboard1!$A$28:$A$34</c:f>
              <c:strCache>
                <c:ptCount val="7"/>
                <c:pt idx="0">
                  <c:v>Banking</c:v>
                </c:pt>
                <c:pt idx="1">
                  <c:v>Cash</c:v>
                </c:pt>
                <c:pt idx="2">
                  <c:v>ETF</c:v>
                </c:pt>
                <c:pt idx="3">
                  <c:v>Energy</c:v>
                </c:pt>
                <c:pt idx="4">
                  <c:v>Fixed Income</c:v>
                </c:pt>
                <c:pt idx="5">
                  <c:v>Insurance</c:v>
                </c:pt>
                <c:pt idx="6">
                  <c:v>Telecom</c:v>
                </c:pt>
              </c:strCache>
            </c:strRef>
          </c:cat>
          <c:val>
            <c:numRef>
              <c:f>Dashboard1!$B$28:$B$34</c:f>
              <c:numCache>
                <c:formatCode>0.00"%"</c:formatCode>
                <c:ptCount val="7"/>
                <c:pt idx="0">
                  <c:v>18.271954804750941</c:v>
                </c:pt>
                <c:pt idx="1">
                  <c:v>7.6827150277300564</c:v>
                </c:pt>
                <c:pt idx="2">
                  <c:v>14.708108481760069</c:v>
                </c:pt>
                <c:pt idx="3">
                  <c:v>14.473298589281541</c:v>
                </c:pt>
                <c:pt idx="4">
                  <c:v>23.240212958883419</c:v>
                </c:pt>
                <c:pt idx="5">
                  <c:v>12.201986634174</c:v>
                </c:pt>
                <c:pt idx="6">
                  <c:v>9.4217235034199724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80-4C67-A868-DA3882633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Sector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Allocation %</a:t>
                </a:r>
              </a:p>
            </c:rich>
          </c:tx>
          <c:overlay val="1"/>
        </c:title>
        <c:numFmt formatCode="0.0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46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4</xdr:col>
      <xdr:colOff>0</xdr:colOff>
      <xdr:row>19</xdr:row>
      <xdr:rowOff>0</xdr:rowOff>
    </xdr:from>
    <xdr:ext cx="46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0"/>
  <sheetViews>
    <sheetView showGridLines="0" workbookViewId="0">
      <selection activeCell="D5" sqref="D5"/>
    </sheetView>
  </sheetViews>
  <sheetFormatPr defaultRowHeight="14.5" x14ac:dyDescent="0.35"/>
  <cols>
    <col min="1" max="1" width="28" customWidth="1"/>
    <col min="2" max="2" width="18" customWidth="1"/>
    <col min="3" max="3" width="22" customWidth="1"/>
    <col min="4" max="4" width="14" customWidth="1"/>
    <col min="5" max="5" width="28" customWidth="1"/>
    <col min="6" max="6" width="18" customWidth="1"/>
    <col min="7" max="7" width="22" customWidth="1"/>
    <col min="8" max="8" width="42" customWidth="1"/>
    <col min="9" max="10" width="18" customWidth="1"/>
  </cols>
  <sheetData>
    <row r="1" spans="1:3" ht="25" customHeight="1" x14ac:dyDescent="0.35">
      <c r="A1" s="23" t="s">
        <v>0</v>
      </c>
      <c r="B1" s="24"/>
      <c r="C1" s="24"/>
    </row>
    <row r="2" spans="1:3" ht="18" customHeight="1" x14ac:dyDescent="0.35"/>
    <row r="3" spans="1:3" ht="18" customHeight="1" x14ac:dyDescent="0.35">
      <c r="A3" s="1" t="s">
        <v>1</v>
      </c>
      <c r="B3" s="2" t="s">
        <v>2</v>
      </c>
    </row>
    <row r="4" spans="1:3" ht="18" customHeight="1" x14ac:dyDescent="0.35">
      <c r="A4" s="3" t="s">
        <v>3</v>
      </c>
      <c r="B4" s="4">
        <v>26032463.690000001</v>
      </c>
    </row>
    <row r="5" spans="1:3" ht="18" customHeight="1" x14ac:dyDescent="0.35">
      <c r="A5" s="3" t="s">
        <v>4</v>
      </c>
      <c r="B5" s="4">
        <v>15</v>
      </c>
    </row>
    <row r="6" spans="1:3" ht="18" customHeight="1" x14ac:dyDescent="0.35">
      <c r="A6" s="3" t="s">
        <v>5</v>
      </c>
      <c r="B6" s="4">
        <v>7</v>
      </c>
    </row>
    <row r="7" spans="1:3" ht="18" customHeight="1" x14ac:dyDescent="0.35"/>
    <row r="8" spans="1:3" ht="18" customHeight="1" x14ac:dyDescent="0.35"/>
    <row r="9" spans="1:3" ht="18" customHeight="1" x14ac:dyDescent="0.35">
      <c r="A9" s="1" t="s">
        <v>6</v>
      </c>
      <c r="B9" s="2" t="s">
        <v>7</v>
      </c>
      <c r="C9" s="2" t="s">
        <v>8</v>
      </c>
    </row>
    <row r="10" spans="1:3" ht="18" customHeight="1" x14ac:dyDescent="0.35">
      <c r="A10" s="5" t="s">
        <v>9</v>
      </c>
      <c r="B10" s="6">
        <v>1059300</v>
      </c>
      <c r="C10" s="7">
        <v>4.0691500144372243</v>
      </c>
    </row>
    <row r="11" spans="1:3" ht="18" customHeight="1" x14ac:dyDescent="0.35">
      <c r="A11" s="8" t="s">
        <v>10</v>
      </c>
      <c r="B11" s="9">
        <v>1113750</v>
      </c>
      <c r="C11" s="10">
        <v>4.2783119310671749</v>
      </c>
    </row>
    <row r="12" spans="1:3" ht="18" customHeight="1" x14ac:dyDescent="0.35">
      <c r="A12" s="5" t="s">
        <v>11</v>
      </c>
      <c r="B12" s="6">
        <v>1306250</v>
      </c>
      <c r="C12" s="7">
        <v>5.0177732524861929</v>
      </c>
    </row>
    <row r="13" spans="1:3" ht="18" customHeight="1" x14ac:dyDescent="0.35">
      <c r="A13" s="8" t="s">
        <v>12</v>
      </c>
      <c r="B13" s="9">
        <v>1277340</v>
      </c>
      <c r="C13" s="10">
        <v>4.9067196067603547</v>
      </c>
    </row>
    <row r="14" spans="1:3" ht="18" customHeight="1" x14ac:dyDescent="0.35">
      <c r="A14" s="5" t="s">
        <v>13</v>
      </c>
      <c r="B14" s="6">
        <v>2452706.75</v>
      </c>
      <c r="C14" s="7">
        <v>9.4217235034199724</v>
      </c>
    </row>
    <row r="15" spans="1:3" ht="18" customHeight="1" x14ac:dyDescent="0.35">
      <c r="A15" s="8" t="s">
        <v>14</v>
      </c>
      <c r="B15" s="9">
        <v>1767207</v>
      </c>
      <c r="C15" s="10">
        <v>6.7884738880048738</v>
      </c>
    </row>
    <row r="16" spans="1:3" ht="18" customHeight="1" x14ac:dyDescent="0.35">
      <c r="A16" s="5" t="s">
        <v>15</v>
      </c>
      <c r="B16" s="6">
        <v>819547.24000000011</v>
      </c>
      <c r="C16" s="7">
        <v>3.1481739483413458</v>
      </c>
    </row>
    <row r="17" spans="1:3" ht="18" customHeight="1" x14ac:dyDescent="0.35">
      <c r="A17" s="8" t="s">
        <v>16</v>
      </c>
      <c r="B17" s="9">
        <v>589723.5</v>
      </c>
      <c r="C17" s="10">
        <v>2.2653387978277828</v>
      </c>
    </row>
    <row r="18" spans="1:3" ht="18" customHeight="1" x14ac:dyDescent="0.35">
      <c r="A18" s="5" t="s">
        <v>17</v>
      </c>
      <c r="B18" s="6">
        <v>909263.99999999988</v>
      </c>
      <c r="C18" s="7">
        <v>3.4928080984869698</v>
      </c>
    </row>
    <row r="19" spans="1:3" ht="18" customHeight="1" x14ac:dyDescent="0.35">
      <c r="A19" s="8" t="s">
        <v>18</v>
      </c>
      <c r="B19" s="9">
        <v>1464784.2</v>
      </c>
      <c r="C19" s="10">
        <v>5.6267597928607733</v>
      </c>
    </row>
    <row r="20" spans="1:3" ht="18" customHeight="1" x14ac:dyDescent="0.35">
      <c r="A20" s="5" t="s">
        <v>19</v>
      </c>
      <c r="B20" s="6">
        <v>1393708</v>
      </c>
      <c r="C20" s="7">
        <v>5.3537306979338002</v>
      </c>
    </row>
    <row r="21" spans="1:3" ht="18" customHeight="1" x14ac:dyDescent="0.35">
      <c r="A21" s="8" t="s">
        <v>20</v>
      </c>
      <c r="B21" s="9">
        <v>2716584</v>
      </c>
      <c r="C21" s="10">
        <v>10.435370360445511</v>
      </c>
    </row>
    <row r="22" spans="1:3" ht="18" customHeight="1" x14ac:dyDescent="0.35">
      <c r="A22" s="5" t="s">
        <v>21</v>
      </c>
      <c r="B22" s="6">
        <v>1112299</v>
      </c>
      <c r="C22" s="7">
        <v>4.272738121314557</v>
      </c>
    </row>
    <row r="23" spans="1:3" ht="18" customHeight="1" x14ac:dyDescent="0.35">
      <c r="A23" s="8" t="s">
        <v>22</v>
      </c>
      <c r="B23" s="9">
        <v>6050000</v>
      </c>
      <c r="C23" s="10">
        <v>23.240212958883419</v>
      </c>
    </row>
    <row r="24" spans="1:3" ht="18" customHeight="1" x14ac:dyDescent="0.35">
      <c r="A24" s="5" t="s">
        <v>23</v>
      </c>
      <c r="B24" s="6">
        <v>2000000</v>
      </c>
      <c r="C24" s="7">
        <v>7.6827150277300564</v>
      </c>
    </row>
    <row r="25" spans="1:3" ht="18" customHeight="1" x14ac:dyDescent="0.35"/>
    <row r="26" spans="1:3" ht="18" customHeight="1" x14ac:dyDescent="0.35"/>
    <row r="27" spans="1:3" ht="18" customHeight="1" x14ac:dyDescent="0.35">
      <c r="A27" s="1" t="s">
        <v>24</v>
      </c>
      <c r="B27" s="2" t="s">
        <v>25</v>
      </c>
    </row>
    <row r="28" spans="1:3" ht="18" customHeight="1" x14ac:dyDescent="0.35">
      <c r="A28" s="5" t="s">
        <v>26</v>
      </c>
      <c r="B28" s="7">
        <v>18.271954804750941</v>
      </c>
    </row>
    <row r="29" spans="1:3" ht="18" customHeight="1" x14ac:dyDescent="0.35">
      <c r="A29" s="8" t="s">
        <v>27</v>
      </c>
      <c r="B29" s="10">
        <v>7.6827150277300564</v>
      </c>
    </row>
    <row r="30" spans="1:3" ht="18" customHeight="1" x14ac:dyDescent="0.35">
      <c r="A30" s="5" t="s">
        <v>28</v>
      </c>
      <c r="B30" s="7">
        <v>14.708108481760069</v>
      </c>
    </row>
    <row r="31" spans="1:3" ht="18" customHeight="1" x14ac:dyDescent="0.35">
      <c r="A31" s="8" t="s">
        <v>29</v>
      </c>
      <c r="B31" s="10">
        <v>14.473298589281541</v>
      </c>
    </row>
    <row r="32" spans="1:3" ht="18" customHeight="1" x14ac:dyDescent="0.35">
      <c r="A32" s="5" t="s">
        <v>30</v>
      </c>
      <c r="B32" s="7">
        <v>23.240212958883419</v>
      </c>
    </row>
    <row r="33" spans="1:5" ht="18" customHeight="1" x14ac:dyDescent="0.35">
      <c r="A33" s="8" t="s">
        <v>31</v>
      </c>
      <c r="B33" s="10">
        <v>12.201986634174</v>
      </c>
    </row>
    <row r="34" spans="1:5" ht="18" customHeight="1" x14ac:dyDescent="0.35">
      <c r="A34" s="5" t="s">
        <v>32</v>
      </c>
      <c r="B34" s="7">
        <v>9.4217235034199724</v>
      </c>
    </row>
    <row r="35" spans="1:5" ht="18" customHeight="1" x14ac:dyDescent="0.35"/>
    <row r="36" spans="1:5" ht="18" customHeight="1" x14ac:dyDescent="0.35"/>
    <row r="37" spans="1:5" ht="18" customHeight="1" x14ac:dyDescent="0.35">
      <c r="A37" s="1" t="s">
        <v>1</v>
      </c>
      <c r="B37" s="2" t="s">
        <v>2</v>
      </c>
    </row>
    <row r="38" spans="1:5" ht="18" customHeight="1" x14ac:dyDescent="0.35">
      <c r="A38" s="5" t="s">
        <v>33</v>
      </c>
      <c r="B38" s="11" t="s">
        <v>34</v>
      </c>
    </row>
    <row r="39" spans="1:5" ht="18" customHeight="1" x14ac:dyDescent="0.35">
      <c r="A39" s="8" t="s">
        <v>35</v>
      </c>
      <c r="B39" s="12" t="s">
        <v>36</v>
      </c>
    </row>
    <row r="40" spans="1:5" ht="18" customHeight="1" x14ac:dyDescent="0.35">
      <c r="A40" s="5" t="s">
        <v>37</v>
      </c>
      <c r="B40" s="11" t="s">
        <v>38</v>
      </c>
    </row>
    <row r="41" spans="1:5" ht="18" customHeight="1" x14ac:dyDescent="0.35">
      <c r="A41" s="8" t="s">
        <v>39</v>
      </c>
      <c r="B41" s="12">
        <v>3</v>
      </c>
    </row>
    <row r="42" spans="1:5" ht="18" customHeight="1" x14ac:dyDescent="0.35">
      <c r="A42" s="5" t="s">
        <v>40</v>
      </c>
      <c r="B42" s="11">
        <v>0</v>
      </c>
    </row>
    <row r="43" spans="1:5" ht="18" customHeight="1" x14ac:dyDescent="0.35">
      <c r="A43" s="8" t="s">
        <v>41</v>
      </c>
      <c r="B43" s="12" t="s">
        <v>42</v>
      </c>
    </row>
    <row r="44" spans="1:5" ht="18" customHeight="1" x14ac:dyDescent="0.35">
      <c r="A44" s="5" t="s">
        <v>43</v>
      </c>
      <c r="B44" s="11" t="s">
        <v>44</v>
      </c>
    </row>
    <row r="45" spans="1:5" ht="18" customHeight="1" x14ac:dyDescent="0.35"/>
    <row r="46" spans="1:5" ht="18" customHeight="1" x14ac:dyDescent="0.35"/>
    <row r="47" spans="1:5" ht="18" customHeight="1" x14ac:dyDescent="0.35">
      <c r="A47" s="1" t="s">
        <v>6</v>
      </c>
      <c r="B47" s="2" t="s">
        <v>24</v>
      </c>
      <c r="C47" s="2" t="s">
        <v>8</v>
      </c>
      <c r="D47" s="2" t="s">
        <v>45</v>
      </c>
      <c r="E47" s="2" t="s">
        <v>46</v>
      </c>
    </row>
    <row r="48" spans="1:5" ht="18" customHeight="1" x14ac:dyDescent="0.35">
      <c r="A48" s="5" t="s">
        <v>11</v>
      </c>
      <c r="B48" s="11" t="s">
        <v>26</v>
      </c>
      <c r="C48" s="7">
        <v>5.0177732524861929</v>
      </c>
      <c r="D48" s="7">
        <v>5</v>
      </c>
      <c r="E48" s="7">
        <v>1.7773252486192881E-2</v>
      </c>
    </row>
    <row r="49" spans="1:7" ht="18" customHeight="1" x14ac:dyDescent="0.35">
      <c r="A49" s="8" t="s">
        <v>14</v>
      </c>
      <c r="B49" s="12" t="s">
        <v>31</v>
      </c>
      <c r="C49" s="10">
        <v>6.7884738880048738</v>
      </c>
      <c r="D49" s="10">
        <v>6.666666666666667</v>
      </c>
      <c r="E49" s="10">
        <v>0.1218072213382069</v>
      </c>
    </row>
    <row r="50" spans="1:7" ht="18" customHeight="1" x14ac:dyDescent="0.35">
      <c r="A50" s="5" t="s">
        <v>20</v>
      </c>
      <c r="B50" s="11" t="s">
        <v>28</v>
      </c>
      <c r="C50" s="7">
        <v>10.435370360445511</v>
      </c>
      <c r="D50" s="7">
        <v>10</v>
      </c>
      <c r="E50" s="7">
        <v>0.43537036044551242</v>
      </c>
    </row>
    <row r="51" spans="1:7" ht="18" customHeight="1" x14ac:dyDescent="0.35"/>
    <row r="52" spans="1:7" ht="18" customHeight="1" x14ac:dyDescent="0.35"/>
    <row r="53" spans="1:7" ht="18" customHeight="1" x14ac:dyDescent="0.35">
      <c r="A53" s="1" t="s">
        <v>24</v>
      </c>
      <c r="B53" s="2" t="s">
        <v>47</v>
      </c>
      <c r="C53" s="2" t="s">
        <v>48</v>
      </c>
      <c r="D53" s="2" t="s">
        <v>46</v>
      </c>
    </row>
    <row r="54" spans="1:7" ht="18" customHeight="1" x14ac:dyDescent="0.35"/>
    <row r="55" spans="1:7" ht="18" customHeight="1" x14ac:dyDescent="0.35">
      <c r="A55" s="25" t="s">
        <v>49</v>
      </c>
      <c r="B55" s="24"/>
      <c r="C55" s="24"/>
      <c r="D55" s="24"/>
      <c r="E55" s="24"/>
      <c r="F55" s="24"/>
      <c r="G55" s="24"/>
    </row>
    <row r="56" spans="1:7" ht="18" customHeight="1" x14ac:dyDescent="0.35">
      <c r="A56" s="1" t="s">
        <v>50</v>
      </c>
      <c r="B56" s="2" t="s">
        <v>6</v>
      </c>
      <c r="C56" s="2" t="s">
        <v>24</v>
      </c>
      <c r="D56" s="2" t="s">
        <v>51</v>
      </c>
      <c r="E56" s="2" t="s">
        <v>52</v>
      </c>
      <c r="F56" s="2" t="s">
        <v>53</v>
      </c>
      <c r="G56" s="13" t="s">
        <v>54</v>
      </c>
    </row>
    <row r="57" spans="1:7" ht="36" customHeight="1" x14ac:dyDescent="0.35">
      <c r="A57" s="8" t="s">
        <v>55</v>
      </c>
      <c r="B57" s="12" t="s">
        <v>11</v>
      </c>
      <c r="C57" s="12" t="s">
        <v>26</v>
      </c>
      <c r="D57" s="14">
        <v>68</v>
      </c>
      <c r="E57" s="9">
        <v>68.75</v>
      </c>
      <c r="F57" s="9">
        <v>4675</v>
      </c>
      <c r="G57" s="15" t="s">
        <v>56</v>
      </c>
    </row>
    <row r="58" spans="1:7" ht="36" customHeight="1" x14ac:dyDescent="0.35">
      <c r="A58" s="5" t="s">
        <v>55</v>
      </c>
      <c r="B58" s="11" t="s">
        <v>14</v>
      </c>
      <c r="C58" s="11" t="s">
        <v>31</v>
      </c>
      <c r="D58" s="16">
        <v>87</v>
      </c>
      <c r="E58" s="6">
        <v>367.25</v>
      </c>
      <c r="F58" s="6">
        <v>31950.75</v>
      </c>
      <c r="G58" s="17" t="s">
        <v>56</v>
      </c>
    </row>
    <row r="59" spans="1:7" ht="36" customHeight="1" x14ac:dyDescent="0.35">
      <c r="A59" s="8" t="s">
        <v>57</v>
      </c>
      <c r="B59" s="12" t="s">
        <v>16</v>
      </c>
      <c r="C59" s="12" t="s">
        <v>31</v>
      </c>
      <c r="D59" s="14">
        <v>12169</v>
      </c>
      <c r="E59" s="9">
        <v>12.3</v>
      </c>
      <c r="F59" s="9">
        <v>149678.70000000001</v>
      </c>
      <c r="G59" s="15" t="s">
        <v>58</v>
      </c>
    </row>
    <row r="60" spans="1:7" ht="36" customHeight="1" x14ac:dyDescent="0.35">
      <c r="A60" s="5" t="s">
        <v>55</v>
      </c>
      <c r="B60" s="11" t="s">
        <v>20</v>
      </c>
      <c r="C60" s="11" t="s">
        <v>28</v>
      </c>
      <c r="D60" s="16">
        <v>3</v>
      </c>
      <c r="E60" s="6">
        <v>52242</v>
      </c>
      <c r="F60" s="6">
        <v>156726</v>
      </c>
      <c r="G60" s="17" t="s">
        <v>56</v>
      </c>
    </row>
  </sheetData>
  <mergeCells count="2">
    <mergeCell ref="A1:C1"/>
    <mergeCell ref="A55:G55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6"/>
  <sheetViews>
    <sheetView tabSelected="1" workbookViewId="0"/>
  </sheetViews>
  <sheetFormatPr defaultRowHeight="14.5" x14ac:dyDescent="0.35"/>
  <cols>
    <col min="1" max="1" width="21.6328125" bestFit="1" customWidth="1"/>
    <col min="2" max="2" width="5.90625" bestFit="1" customWidth="1"/>
    <col min="3" max="3" width="8.453125" bestFit="1" customWidth="1"/>
    <col min="4" max="4" width="28.1796875" bestFit="1" customWidth="1"/>
    <col min="5" max="5" width="17.81640625" bestFit="1" customWidth="1"/>
  </cols>
  <sheetData>
    <row r="1" spans="1:5" x14ac:dyDescent="0.35">
      <c r="A1" t="s">
        <v>6</v>
      </c>
      <c r="B1" t="s">
        <v>59</v>
      </c>
      <c r="C1" t="s">
        <v>60</v>
      </c>
      <c r="D1" t="s">
        <v>61</v>
      </c>
      <c r="E1" t="s">
        <v>62</v>
      </c>
    </row>
    <row r="2" spans="1:5" x14ac:dyDescent="0.35">
      <c r="A2" t="s">
        <v>9</v>
      </c>
      <c r="B2" t="s">
        <v>63</v>
      </c>
      <c r="C2">
        <v>32.1</v>
      </c>
      <c r="D2" t="s">
        <v>64</v>
      </c>
      <c r="E2" t="s">
        <v>65</v>
      </c>
    </row>
    <row r="3" spans="1:5" x14ac:dyDescent="0.35">
      <c r="A3" t="s">
        <v>10</v>
      </c>
      <c r="B3" t="s">
        <v>66</v>
      </c>
      <c r="C3">
        <v>74.25</v>
      </c>
      <c r="D3" t="s">
        <v>64</v>
      </c>
      <c r="E3" t="s">
        <v>65</v>
      </c>
    </row>
    <row r="4" spans="1:5" x14ac:dyDescent="0.35">
      <c r="A4" t="s">
        <v>11</v>
      </c>
      <c r="B4" t="s">
        <v>11</v>
      </c>
      <c r="C4">
        <v>68.75</v>
      </c>
      <c r="D4" t="s">
        <v>67</v>
      </c>
      <c r="E4" t="s">
        <v>65</v>
      </c>
    </row>
    <row r="5" spans="1:5" x14ac:dyDescent="0.35">
      <c r="A5" t="s">
        <v>12</v>
      </c>
      <c r="B5" t="s">
        <v>12</v>
      </c>
      <c r="C5">
        <v>87.25</v>
      </c>
      <c r="D5" t="s">
        <v>64</v>
      </c>
      <c r="E5" t="s">
        <v>65</v>
      </c>
    </row>
    <row r="6" spans="1:5" x14ac:dyDescent="0.35">
      <c r="A6" t="s">
        <v>13</v>
      </c>
      <c r="B6" t="s">
        <v>68</v>
      </c>
      <c r="C6">
        <v>30.55</v>
      </c>
      <c r="D6" t="s">
        <v>64</v>
      </c>
      <c r="E6" t="s">
        <v>65</v>
      </c>
    </row>
    <row r="7" spans="1:5" x14ac:dyDescent="0.35">
      <c r="A7" t="s">
        <v>14</v>
      </c>
      <c r="B7" t="s">
        <v>69</v>
      </c>
      <c r="C7">
        <v>367.25</v>
      </c>
      <c r="D7" t="s">
        <v>64</v>
      </c>
      <c r="E7" t="s">
        <v>65</v>
      </c>
    </row>
    <row r="8" spans="1:5" x14ac:dyDescent="0.35">
      <c r="A8" t="s">
        <v>15</v>
      </c>
      <c r="B8" t="s">
        <v>15</v>
      </c>
      <c r="C8">
        <v>4.1900000000000004</v>
      </c>
      <c r="D8" t="s">
        <v>64</v>
      </c>
      <c r="E8" t="s">
        <v>65</v>
      </c>
    </row>
    <row r="9" spans="1:5" x14ac:dyDescent="0.35">
      <c r="A9" t="s">
        <v>16</v>
      </c>
      <c r="B9" t="s">
        <v>70</v>
      </c>
      <c r="C9">
        <v>12.3</v>
      </c>
      <c r="D9" t="s">
        <v>64</v>
      </c>
      <c r="E9" t="s">
        <v>65</v>
      </c>
    </row>
    <row r="10" spans="1:5" x14ac:dyDescent="0.35">
      <c r="A10" t="s">
        <v>17</v>
      </c>
      <c r="B10" t="s">
        <v>71</v>
      </c>
      <c r="C10">
        <v>9.1199999999999992</v>
      </c>
      <c r="D10" t="s">
        <v>64</v>
      </c>
      <c r="E10" t="s">
        <v>65</v>
      </c>
    </row>
    <row r="11" spans="1:5" x14ac:dyDescent="0.35">
      <c r="A11" t="s">
        <v>18</v>
      </c>
      <c r="B11" t="s">
        <v>72</v>
      </c>
      <c r="C11">
        <v>15.95</v>
      </c>
      <c r="D11" t="s">
        <v>64</v>
      </c>
      <c r="E11" t="s">
        <v>65</v>
      </c>
    </row>
    <row r="12" spans="1:5" x14ac:dyDescent="0.35">
      <c r="A12" t="s">
        <v>19</v>
      </c>
      <c r="B12" t="s">
        <v>73</v>
      </c>
      <c r="C12">
        <v>46</v>
      </c>
      <c r="D12" t="s">
        <v>64</v>
      </c>
      <c r="E12" t="s">
        <v>65</v>
      </c>
    </row>
    <row r="13" spans="1:5" x14ac:dyDescent="0.35">
      <c r="A13" t="s">
        <v>20</v>
      </c>
      <c r="C13">
        <v>52242</v>
      </c>
      <c r="D13" t="s">
        <v>74</v>
      </c>
    </row>
    <row r="14" spans="1:5" x14ac:dyDescent="0.35">
      <c r="A14" t="s">
        <v>21</v>
      </c>
      <c r="C14">
        <v>11467</v>
      </c>
      <c r="D14" t="s">
        <v>74</v>
      </c>
    </row>
    <row r="15" spans="1:5" x14ac:dyDescent="0.35">
      <c r="A15" t="s">
        <v>22</v>
      </c>
      <c r="C15">
        <v>50000</v>
      </c>
      <c r="D15" t="s">
        <v>74</v>
      </c>
    </row>
    <row r="16" spans="1:5" x14ac:dyDescent="0.35">
      <c r="A16" t="s">
        <v>23</v>
      </c>
      <c r="C16">
        <v>1000000</v>
      </c>
      <c r="D16" t="s">
        <v>74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1"/>
  <sheetViews>
    <sheetView showGridLines="0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20" customWidth="1"/>
    <col min="2" max="2" width="28" customWidth="1"/>
    <col min="3" max="3" width="12" customWidth="1"/>
    <col min="4" max="5" width="14" customWidth="1"/>
    <col min="6" max="6" width="18" customWidth="1"/>
    <col min="7" max="7" width="12" customWidth="1"/>
    <col min="8" max="8" width="20" customWidth="1"/>
    <col min="9" max="11" width="16" customWidth="1"/>
    <col min="12" max="12" width="22" customWidth="1"/>
    <col min="13" max="13" width="18" customWidth="1"/>
  </cols>
  <sheetData>
    <row r="1" spans="1:13" ht="29" x14ac:dyDescent="0.35">
      <c r="A1" s="18" t="s">
        <v>75</v>
      </c>
      <c r="B1" s="18" t="s">
        <v>6</v>
      </c>
      <c r="C1" s="18" t="s">
        <v>50</v>
      </c>
      <c r="D1" s="13" t="s">
        <v>76</v>
      </c>
      <c r="E1" s="13" t="s">
        <v>77</v>
      </c>
      <c r="F1" s="18" t="s">
        <v>78</v>
      </c>
      <c r="G1" s="13" t="s">
        <v>79</v>
      </c>
      <c r="H1" s="18" t="s">
        <v>80</v>
      </c>
      <c r="I1" s="13" t="s">
        <v>81</v>
      </c>
      <c r="J1" s="13" t="s">
        <v>82</v>
      </c>
      <c r="K1" s="13" t="s">
        <v>83</v>
      </c>
      <c r="L1" s="13" t="s">
        <v>84</v>
      </c>
      <c r="M1" s="13" t="s">
        <v>85</v>
      </c>
    </row>
    <row r="2" spans="1:13" x14ac:dyDescent="0.35">
      <c r="A2" s="19" t="s">
        <v>86</v>
      </c>
      <c r="B2" s="19" t="s">
        <v>9</v>
      </c>
      <c r="C2" s="19" t="s">
        <v>87</v>
      </c>
      <c r="D2" s="20">
        <v>34000</v>
      </c>
      <c r="E2" s="20">
        <v>32.1</v>
      </c>
      <c r="F2" s="19"/>
      <c r="G2" s="20">
        <v>0</v>
      </c>
      <c r="H2" s="19" t="s">
        <v>88</v>
      </c>
      <c r="I2" s="20">
        <v>0</v>
      </c>
      <c r="J2" s="20">
        <v>0</v>
      </c>
      <c r="K2" s="20">
        <v>1091400</v>
      </c>
      <c r="L2" s="20">
        <v>32.1</v>
      </c>
      <c r="M2" s="20">
        <v>34000</v>
      </c>
    </row>
    <row r="3" spans="1:13" x14ac:dyDescent="0.35">
      <c r="A3" s="21" t="s">
        <v>86</v>
      </c>
      <c r="B3" s="21" t="s">
        <v>10</v>
      </c>
      <c r="C3" s="21" t="s">
        <v>87</v>
      </c>
      <c r="D3" s="22">
        <v>10000</v>
      </c>
      <c r="E3" s="22">
        <v>74.25</v>
      </c>
      <c r="F3" s="21"/>
      <c r="G3" s="22">
        <v>0</v>
      </c>
      <c r="H3" s="21" t="s">
        <v>88</v>
      </c>
      <c r="I3" s="22">
        <v>0</v>
      </c>
      <c r="J3" s="22">
        <v>0</v>
      </c>
      <c r="K3" s="22">
        <v>742500</v>
      </c>
      <c r="L3" s="22">
        <v>74.25</v>
      </c>
      <c r="M3" s="22">
        <v>10000</v>
      </c>
    </row>
    <row r="4" spans="1:13" x14ac:dyDescent="0.35">
      <c r="A4" s="19" t="s">
        <v>86</v>
      </c>
      <c r="B4" s="19" t="s">
        <v>11</v>
      </c>
      <c r="C4" s="19" t="s">
        <v>87</v>
      </c>
      <c r="D4" s="20">
        <v>19000</v>
      </c>
      <c r="E4" s="20">
        <v>66.75</v>
      </c>
      <c r="F4" s="19"/>
      <c r="G4" s="20">
        <v>0</v>
      </c>
      <c r="H4" s="19" t="s">
        <v>88</v>
      </c>
      <c r="I4" s="20">
        <v>0</v>
      </c>
      <c r="J4" s="20">
        <v>38000</v>
      </c>
      <c r="K4" s="20">
        <v>1268250</v>
      </c>
      <c r="L4" s="20">
        <v>66.75</v>
      </c>
      <c r="M4" s="20">
        <v>19000</v>
      </c>
    </row>
    <row r="5" spans="1:13" x14ac:dyDescent="0.35">
      <c r="A5" s="21" t="s">
        <v>86</v>
      </c>
      <c r="B5" s="21" t="s">
        <v>12</v>
      </c>
      <c r="C5" s="21" t="s">
        <v>87</v>
      </c>
      <c r="D5" s="22">
        <v>14640</v>
      </c>
      <c r="E5" s="22">
        <v>87.25</v>
      </c>
      <c r="F5" s="21"/>
      <c r="G5" s="22">
        <v>0</v>
      </c>
      <c r="H5" s="21" t="s">
        <v>88</v>
      </c>
      <c r="I5" s="22">
        <v>0</v>
      </c>
      <c r="J5" s="22">
        <v>0</v>
      </c>
      <c r="K5" s="22">
        <v>1277340</v>
      </c>
      <c r="L5" s="22">
        <v>87.25</v>
      </c>
      <c r="M5" s="22">
        <v>14640</v>
      </c>
    </row>
    <row r="6" spans="1:13" x14ac:dyDescent="0.35">
      <c r="A6" s="19" t="s">
        <v>86</v>
      </c>
      <c r="B6" s="19" t="s">
        <v>13</v>
      </c>
      <c r="C6" s="19" t="s">
        <v>87</v>
      </c>
      <c r="D6" s="20">
        <v>80285</v>
      </c>
      <c r="E6" s="20">
        <v>30.55</v>
      </c>
      <c r="F6" s="19"/>
      <c r="G6" s="20">
        <v>0</v>
      </c>
      <c r="H6" s="19" t="s">
        <v>88</v>
      </c>
      <c r="I6" s="20">
        <v>0</v>
      </c>
      <c r="J6" s="20">
        <v>0</v>
      </c>
      <c r="K6" s="20">
        <v>2452706.75</v>
      </c>
      <c r="L6" s="20">
        <v>30.55</v>
      </c>
      <c r="M6" s="20">
        <v>80285</v>
      </c>
    </row>
    <row r="7" spans="1:13" x14ac:dyDescent="0.35">
      <c r="A7" s="21" t="s">
        <v>86</v>
      </c>
      <c r="B7" s="21" t="s">
        <v>14</v>
      </c>
      <c r="C7" s="21" t="s">
        <v>87</v>
      </c>
      <c r="D7" s="22">
        <v>4812</v>
      </c>
      <c r="E7" s="22">
        <v>360</v>
      </c>
      <c r="F7" s="21"/>
      <c r="G7" s="22">
        <v>0</v>
      </c>
      <c r="H7" s="21" t="s">
        <v>88</v>
      </c>
      <c r="I7" s="22">
        <v>0</v>
      </c>
      <c r="J7" s="22">
        <v>34887</v>
      </c>
      <c r="K7" s="22">
        <v>1732320</v>
      </c>
      <c r="L7" s="22">
        <v>360</v>
      </c>
      <c r="M7" s="22">
        <v>4812</v>
      </c>
    </row>
    <row r="8" spans="1:13" x14ac:dyDescent="0.35">
      <c r="A8" s="19" t="s">
        <v>86</v>
      </c>
      <c r="B8" s="19" t="s">
        <v>15</v>
      </c>
      <c r="C8" s="19" t="s">
        <v>87</v>
      </c>
      <c r="D8" s="20">
        <v>195596</v>
      </c>
      <c r="E8" s="20">
        <v>4.1900000000000004</v>
      </c>
      <c r="F8" s="19"/>
      <c r="G8" s="20">
        <v>0</v>
      </c>
      <c r="H8" s="19" t="s">
        <v>88</v>
      </c>
      <c r="I8" s="20">
        <v>0</v>
      </c>
      <c r="J8" s="20">
        <v>0</v>
      </c>
      <c r="K8" s="20">
        <v>819547.24000000011</v>
      </c>
      <c r="L8" s="20">
        <v>4.1900000000000004</v>
      </c>
      <c r="M8" s="20">
        <v>195596</v>
      </c>
    </row>
    <row r="9" spans="1:13" x14ac:dyDescent="0.35">
      <c r="A9" s="21" t="s">
        <v>86</v>
      </c>
      <c r="B9" s="21" t="s">
        <v>16</v>
      </c>
      <c r="C9" s="21" t="s">
        <v>87</v>
      </c>
      <c r="D9" s="22">
        <v>47945</v>
      </c>
      <c r="E9" s="22">
        <v>12.85</v>
      </c>
      <c r="F9" s="21"/>
      <c r="G9" s="22">
        <v>0</v>
      </c>
      <c r="H9" s="21" t="s">
        <v>88</v>
      </c>
      <c r="I9" s="22">
        <v>0</v>
      </c>
      <c r="J9" s="22">
        <v>-26369.75</v>
      </c>
      <c r="K9" s="22">
        <v>616093.25</v>
      </c>
      <c r="L9" s="22">
        <v>12.85</v>
      </c>
      <c r="M9" s="22">
        <v>47945</v>
      </c>
    </row>
    <row r="10" spans="1:13" x14ac:dyDescent="0.35">
      <c r="A10" s="19" t="s">
        <v>86</v>
      </c>
      <c r="B10" s="19" t="s">
        <v>17</v>
      </c>
      <c r="C10" s="19" t="s">
        <v>87</v>
      </c>
      <c r="D10" s="20">
        <v>99700</v>
      </c>
      <c r="E10" s="20">
        <v>9.18</v>
      </c>
      <c r="F10" s="19"/>
      <c r="G10" s="20">
        <v>0</v>
      </c>
      <c r="H10" s="19" t="s">
        <v>88</v>
      </c>
      <c r="I10" s="20">
        <v>0</v>
      </c>
      <c r="J10" s="20">
        <v>-5982.0000000001164</v>
      </c>
      <c r="K10" s="20">
        <v>915246</v>
      </c>
      <c r="L10" s="20">
        <v>9.18</v>
      </c>
      <c r="M10" s="20">
        <v>99700</v>
      </c>
    </row>
    <row r="11" spans="1:13" x14ac:dyDescent="0.35">
      <c r="A11" s="21" t="s">
        <v>86</v>
      </c>
      <c r="B11" s="21" t="s">
        <v>18</v>
      </c>
      <c r="C11" s="21" t="s">
        <v>87</v>
      </c>
      <c r="D11" s="22">
        <v>39705</v>
      </c>
      <c r="E11" s="22">
        <v>15.35</v>
      </c>
      <c r="F11" s="21"/>
      <c r="G11" s="22">
        <v>0</v>
      </c>
      <c r="H11" s="21" t="s">
        <v>88</v>
      </c>
      <c r="I11" s="22">
        <v>0</v>
      </c>
      <c r="J11" s="22">
        <v>23823</v>
      </c>
      <c r="K11" s="22">
        <v>609471.75</v>
      </c>
      <c r="L11" s="22">
        <v>15.35</v>
      </c>
      <c r="M11" s="22">
        <v>39705</v>
      </c>
    </row>
    <row r="12" spans="1:13" x14ac:dyDescent="0.35">
      <c r="A12" s="19" t="s">
        <v>86</v>
      </c>
      <c r="B12" s="19" t="s">
        <v>19</v>
      </c>
      <c r="C12" s="19" t="s">
        <v>87</v>
      </c>
      <c r="D12" s="20">
        <v>30298</v>
      </c>
      <c r="E12" s="20">
        <v>55.5</v>
      </c>
      <c r="F12" s="19"/>
      <c r="G12" s="20">
        <v>0</v>
      </c>
      <c r="H12" s="19" t="s">
        <v>88</v>
      </c>
      <c r="I12" s="20">
        <v>0</v>
      </c>
      <c r="J12" s="20">
        <v>-287831</v>
      </c>
      <c r="K12" s="20">
        <v>1681539</v>
      </c>
      <c r="L12" s="20">
        <v>55.5</v>
      </c>
      <c r="M12" s="20">
        <v>30298</v>
      </c>
    </row>
    <row r="13" spans="1:13" x14ac:dyDescent="0.35">
      <c r="A13" s="21" t="s">
        <v>86</v>
      </c>
      <c r="B13" s="21" t="s">
        <v>20</v>
      </c>
      <c r="C13" s="21" t="s">
        <v>87</v>
      </c>
      <c r="D13" s="22">
        <v>50</v>
      </c>
      <c r="E13" s="22">
        <v>52240</v>
      </c>
      <c r="F13" s="21"/>
      <c r="G13" s="22">
        <v>0</v>
      </c>
      <c r="H13" s="21" t="s">
        <v>88</v>
      </c>
      <c r="I13" s="22">
        <v>0</v>
      </c>
      <c r="J13" s="22">
        <v>100</v>
      </c>
      <c r="K13" s="22">
        <v>2612000</v>
      </c>
      <c r="L13" s="22">
        <v>52240</v>
      </c>
      <c r="M13" s="22">
        <v>50</v>
      </c>
    </row>
    <row r="14" spans="1:13" x14ac:dyDescent="0.35">
      <c r="A14" s="19" t="s">
        <v>86</v>
      </c>
      <c r="B14" s="19" t="s">
        <v>21</v>
      </c>
      <c r="C14" s="19" t="s">
        <v>87</v>
      </c>
      <c r="D14" s="20">
        <v>97</v>
      </c>
      <c r="E14" s="20">
        <v>11465</v>
      </c>
      <c r="F14" s="19"/>
      <c r="G14" s="20">
        <v>0</v>
      </c>
      <c r="H14" s="19" t="s">
        <v>88</v>
      </c>
      <c r="I14" s="20">
        <v>0</v>
      </c>
      <c r="J14" s="20">
        <v>194</v>
      </c>
      <c r="K14" s="20">
        <v>1112105</v>
      </c>
      <c r="L14" s="20">
        <v>11465</v>
      </c>
      <c r="M14" s="20">
        <v>97</v>
      </c>
    </row>
    <row r="15" spans="1:13" x14ac:dyDescent="0.35">
      <c r="A15" s="21" t="s">
        <v>86</v>
      </c>
      <c r="B15" s="21" t="s">
        <v>22</v>
      </c>
      <c r="C15" s="21" t="s">
        <v>87</v>
      </c>
      <c r="D15" s="22">
        <v>121</v>
      </c>
      <c r="E15" s="22">
        <v>50000</v>
      </c>
      <c r="F15" s="21"/>
      <c r="G15" s="22">
        <v>0</v>
      </c>
      <c r="H15" s="21" t="s">
        <v>88</v>
      </c>
      <c r="I15" s="22">
        <v>0</v>
      </c>
      <c r="J15" s="22">
        <v>0</v>
      </c>
      <c r="K15" s="22">
        <v>6050000</v>
      </c>
      <c r="L15" s="22">
        <v>50000</v>
      </c>
      <c r="M15" s="22">
        <v>121</v>
      </c>
    </row>
    <row r="16" spans="1:13" x14ac:dyDescent="0.35">
      <c r="A16" s="19" t="s">
        <v>86</v>
      </c>
      <c r="B16" s="19" t="s">
        <v>23</v>
      </c>
      <c r="C16" s="19" t="s">
        <v>87</v>
      </c>
      <c r="D16" s="20">
        <v>2</v>
      </c>
      <c r="E16" s="20">
        <v>1000000</v>
      </c>
      <c r="F16" s="19"/>
      <c r="G16" s="20">
        <v>0</v>
      </c>
      <c r="H16" s="19" t="s">
        <v>88</v>
      </c>
      <c r="I16" s="20">
        <v>0</v>
      </c>
      <c r="J16" s="20">
        <v>0</v>
      </c>
      <c r="K16" s="20">
        <v>2000000</v>
      </c>
      <c r="L16" s="20">
        <v>1000000</v>
      </c>
      <c r="M16" s="20">
        <v>2</v>
      </c>
    </row>
    <row r="17" spans="1:13" x14ac:dyDescent="0.35">
      <c r="A17" s="21" t="s">
        <v>89</v>
      </c>
      <c r="B17" s="21" t="s">
        <v>9</v>
      </c>
      <c r="C17" s="21" t="s">
        <v>55</v>
      </c>
      <c r="D17" s="22">
        <v>1000</v>
      </c>
      <c r="E17" s="22">
        <v>34.1</v>
      </c>
      <c r="F17" s="21"/>
      <c r="G17" s="22">
        <v>0</v>
      </c>
      <c r="H17" s="21"/>
      <c r="I17" s="22">
        <v>2000</v>
      </c>
      <c r="J17" s="22">
        <v>0</v>
      </c>
      <c r="K17" s="22">
        <v>1059300</v>
      </c>
      <c r="L17" s="22">
        <v>32.1</v>
      </c>
      <c r="M17" s="22">
        <v>33000</v>
      </c>
    </row>
    <row r="18" spans="1:13" x14ac:dyDescent="0.35">
      <c r="A18" s="19" t="s">
        <v>89</v>
      </c>
      <c r="B18" s="19" t="s">
        <v>10</v>
      </c>
      <c r="C18" s="19" t="s">
        <v>57</v>
      </c>
      <c r="D18" s="20">
        <v>5000</v>
      </c>
      <c r="E18" s="20">
        <v>76.25</v>
      </c>
      <c r="F18" s="19"/>
      <c r="G18" s="20">
        <v>0</v>
      </c>
      <c r="H18" s="19"/>
      <c r="I18" s="20">
        <v>0</v>
      </c>
      <c r="J18" s="20">
        <v>-10000</v>
      </c>
      <c r="K18" s="20">
        <v>1123750</v>
      </c>
      <c r="L18" s="20">
        <v>74.916666666666671</v>
      </c>
      <c r="M18" s="20">
        <v>15000</v>
      </c>
    </row>
    <row r="19" spans="1:13" x14ac:dyDescent="0.35">
      <c r="A19" s="21" t="s">
        <v>89</v>
      </c>
      <c r="B19" s="21" t="s">
        <v>20</v>
      </c>
      <c r="C19" s="21" t="s">
        <v>57</v>
      </c>
      <c r="D19" s="22">
        <v>20</v>
      </c>
      <c r="E19" s="22">
        <v>52242</v>
      </c>
      <c r="F19" s="21"/>
      <c r="G19" s="22">
        <v>0</v>
      </c>
      <c r="H19" s="21"/>
      <c r="I19" s="22">
        <v>0</v>
      </c>
      <c r="J19" s="22">
        <v>100</v>
      </c>
      <c r="K19" s="22">
        <v>3656840</v>
      </c>
      <c r="L19" s="22">
        <v>52240.571428571428</v>
      </c>
      <c r="M19" s="22">
        <v>70</v>
      </c>
    </row>
    <row r="20" spans="1:13" x14ac:dyDescent="0.35">
      <c r="A20" s="19" t="s">
        <v>90</v>
      </c>
      <c r="B20" s="19" t="s">
        <v>18</v>
      </c>
      <c r="C20" s="19" t="s">
        <v>57</v>
      </c>
      <c r="D20" s="20">
        <v>52131</v>
      </c>
      <c r="E20" s="20">
        <v>17.350000000000001</v>
      </c>
      <c r="F20" s="19"/>
      <c r="G20" s="20">
        <v>0</v>
      </c>
      <c r="H20" s="19"/>
      <c r="I20" s="20">
        <v>0</v>
      </c>
      <c r="J20" s="20">
        <v>-49160.40000000014</v>
      </c>
      <c r="K20" s="20">
        <v>1513944.6</v>
      </c>
      <c r="L20" s="20">
        <v>16.48530641578466</v>
      </c>
      <c r="M20" s="20">
        <v>91836</v>
      </c>
    </row>
    <row r="21" spans="1:13" x14ac:dyDescent="0.35">
      <c r="A21" s="21" t="s">
        <v>90</v>
      </c>
      <c r="B21" s="21" t="s">
        <v>20</v>
      </c>
      <c r="C21" s="21" t="s">
        <v>55</v>
      </c>
      <c r="D21" s="22">
        <v>18</v>
      </c>
      <c r="E21" s="22">
        <v>52242</v>
      </c>
      <c r="F21" s="21"/>
      <c r="G21" s="22">
        <v>0</v>
      </c>
      <c r="H21" s="21"/>
      <c r="I21" s="22">
        <v>25.714285714318979</v>
      </c>
      <c r="J21" s="22">
        <v>74.285714285448194</v>
      </c>
      <c r="K21" s="22">
        <v>2716509.714285715</v>
      </c>
      <c r="L21" s="22">
        <v>52240.571428571428</v>
      </c>
      <c r="M21" s="22">
        <v>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5" x14ac:dyDescent="0.35"/>
  <sheetData>
    <row r="1" spans="1:6" x14ac:dyDescent="0.35">
      <c r="A1" t="s">
        <v>6</v>
      </c>
      <c r="B1" t="s">
        <v>24</v>
      </c>
      <c r="C1" t="s">
        <v>51</v>
      </c>
      <c r="D1" t="s">
        <v>91</v>
      </c>
      <c r="E1" t="s">
        <v>52</v>
      </c>
      <c r="F1" t="s">
        <v>7</v>
      </c>
    </row>
    <row r="2" spans="1:6" x14ac:dyDescent="0.35">
      <c r="A2" t="s">
        <v>9</v>
      </c>
      <c r="B2" t="s">
        <v>26</v>
      </c>
      <c r="C2">
        <v>33000</v>
      </c>
      <c r="D2">
        <v>32.1</v>
      </c>
      <c r="E2">
        <v>32.1</v>
      </c>
      <c r="F2">
        <v>1059300</v>
      </c>
    </row>
    <row r="3" spans="1:6" x14ac:dyDescent="0.35">
      <c r="A3" t="s">
        <v>10</v>
      </c>
      <c r="B3" t="s">
        <v>26</v>
      </c>
      <c r="C3">
        <v>15000</v>
      </c>
      <c r="D3">
        <v>74.25</v>
      </c>
      <c r="E3">
        <v>74.25</v>
      </c>
      <c r="F3">
        <v>1113750</v>
      </c>
    </row>
    <row r="4" spans="1:6" x14ac:dyDescent="0.35">
      <c r="A4" t="s">
        <v>11</v>
      </c>
      <c r="B4" t="s">
        <v>26</v>
      </c>
      <c r="C4">
        <v>19000</v>
      </c>
      <c r="D4">
        <v>66.75</v>
      </c>
      <c r="E4">
        <v>68.75</v>
      </c>
      <c r="F4">
        <v>1306250</v>
      </c>
    </row>
    <row r="5" spans="1:6" x14ac:dyDescent="0.35">
      <c r="A5" t="s">
        <v>12</v>
      </c>
      <c r="B5" t="s">
        <v>26</v>
      </c>
      <c r="C5">
        <v>14640</v>
      </c>
      <c r="D5">
        <v>87.25</v>
      </c>
      <c r="E5">
        <v>87.25</v>
      </c>
      <c r="F5">
        <v>1277340</v>
      </c>
    </row>
    <row r="6" spans="1:6" x14ac:dyDescent="0.35">
      <c r="A6" t="s">
        <v>13</v>
      </c>
      <c r="B6" t="s">
        <v>32</v>
      </c>
      <c r="C6">
        <v>80285</v>
      </c>
      <c r="D6">
        <v>30.55</v>
      </c>
      <c r="E6">
        <v>30.55</v>
      </c>
      <c r="F6">
        <v>2452706.75</v>
      </c>
    </row>
    <row r="7" spans="1:6" x14ac:dyDescent="0.35">
      <c r="A7" t="s">
        <v>14</v>
      </c>
      <c r="B7" t="s">
        <v>31</v>
      </c>
      <c r="C7">
        <v>4812</v>
      </c>
      <c r="D7">
        <v>360</v>
      </c>
      <c r="E7">
        <v>367.25</v>
      </c>
      <c r="F7">
        <v>1767207</v>
      </c>
    </row>
    <row r="8" spans="1:6" x14ac:dyDescent="0.35">
      <c r="A8" t="s">
        <v>15</v>
      </c>
      <c r="B8" t="s">
        <v>31</v>
      </c>
      <c r="C8">
        <v>195596</v>
      </c>
      <c r="D8">
        <v>4.1900000000000004</v>
      </c>
      <c r="E8">
        <v>4.1900000000000004</v>
      </c>
      <c r="F8">
        <v>819547.24000000011</v>
      </c>
    </row>
    <row r="9" spans="1:6" x14ac:dyDescent="0.35">
      <c r="A9" t="s">
        <v>16</v>
      </c>
      <c r="B9" t="s">
        <v>31</v>
      </c>
      <c r="C9">
        <v>47945</v>
      </c>
      <c r="D9">
        <v>12.85</v>
      </c>
      <c r="E9">
        <v>12.3</v>
      </c>
      <c r="F9">
        <v>589723.5</v>
      </c>
    </row>
    <row r="10" spans="1:6" x14ac:dyDescent="0.35">
      <c r="A10" t="s">
        <v>17</v>
      </c>
      <c r="B10" t="s">
        <v>29</v>
      </c>
      <c r="C10">
        <v>99700</v>
      </c>
      <c r="D10">
        <v>9.18</v>
      </c>
      <c r="E10">
        <v>9.1199999999999992</v>
      </c>
      <c r="F10">
        <v>909263.99999999988</v>
      </c>
    </row>
    <row r="11" spans="1:6" x14ac:dyDescent="0.35">
      <c r="A11" t="s">
        <v>18</v>
      </c>
      <c r="B11" t="s">
        <v>29</v>
      </c>
      <c r="C11">
        <v>91836</v>
      </c>
      <c r="D11">
        <v>15.35</v>
      </c>
      <c r="E11">
        <v>15.95</v>
      </c>
      <c r="F11">
        <v>1464784.2</v>
      </c>
    </row>
    <row r="12" spans="1:6" x14ac:dyDescent="0.35">
      <c r="A12" t="s">
        <v>19</v>
      </c>
      <c r="B12" t="s">
        <v>29</v>
      </c>
      <c r="C12">
        <v>30298</v>
      </c>
      <c r="D12">
        <v>55.5</v>
      </c>
      <c r="E12">
        <v>46</v>
      </c>
      <c r="F12">
        <v>1393708</v>
      </c>
    </row>
    <row r="13" spans="1:6" x14ac:dyDescent="0.35">
      <c r="A13" t="s">
        <v>20</v>
      </c>
      <c r="B13" t="s">
        <v>28</v>
      </c>
      <c r="C13">
        <v>52</v>
      </c>
      <c r="D13">
        <v>52240</v>
      </c>
      <c r="E13">
        <v>52242</v>
      </c>
      <c r="F13">
        <v>2716584</v>
      </c>
    </row>
    <row r="14" spans="1:6" x14ac:dyDescent="0.35">
      <c r="A14" t="s">
        <v>21</v>
      </c>
      <c r="B14" t="s">
        <v>28</v>
      </c>
      <c r="C14">
        <v>97</v>
      </c>
      <c r="D14">
        <v>11465</v>
      </c>
      <c r="E14">
        <v>11467</v>
      </c>
      <c r="F14">
        <v>1112299</v>
      </c>
    </row>
    <row r="15" spans="1:6" x14ac:dyDescent="0.35">
      <c r="A15" t="s">
        <v>22</v>
      </c>
      <c r="B15" t="s">
        <v>30</v>
      </c>
      <c r="C15">
        <v>121</v>
      </c>
      <c r="D15">
        <v>50000</v>
      </c>
      <c r="E15">
        <v>50000</v>
      </c>
      <c r="F15">
        <v>6050000</v>
      </c>
    </row>
    <row r="16" spans="1:6" x14ac:dyDescent="0.35">
      <c r="A16" t="s">
        <v>23</v>
      </c>
      <c r="B16" t="s">
        <v>27</v>
      </c>
      <c r="C16">
        <v>2</v>
      </c>
      <c r="D16">
        <v>1000000</v>
      </c>
      <c r="E16">
        <v>1000000</v>
      </c>
      <c r="F16">
        <v>2000000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Dashboard1</vt:lpstr>
      <vt:lpstr>NSE_Prices</vt:lpstr>
      <vt:lpstr>Transactions</vt:lpstr>
      <vt:lpstr>Portfolio_State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lawrenceowini17@gmail.com</cp:lastModifiedBy>
  <dcterms:created xsi:type="dcterms:W3CDTF">2026-05-31T19:19:27Z</dcterms:created>
  <dcterms:modified xsi:type="dcterms:W3CDTF">2026-05-31T19:23:34Z</dcterms:modified>
</cp:coreProperties>
</file>