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1e174b27b94807/Desktop/PortfolioTracker/"/>
    </mc:Choice>
  </mc:AlternateContent>
  <xr:revisionPtr revIDLastSave="9" documentId="11_09C9AF2A7231FE99B5EDE0B00038F1AF6A203683" xr6:coauthVersionLast="47" xr6:coauthVersionMax="47" xr10:uidLastSave="{5E2327BA-9466-4EBF-B5A5-66E5D170D2F5}"/>
  <bookViews>
    <workbookView xWindow="-110" yWindow="-110" windowWidth="19420" windowHeight="10300" activeTab="1" xr2:uid="{00000000-000D-0000-FFFF-FFFF00000000}"/>
  </bookViews>
  <sheets>
    <sheet name="Dashboard" sheetId="1" r:id="rId1"/>
    <sheet name="Holdings" sheetId="2" r:id="rId2"/>
    <sheet name="Dividend Tracking" sheetId="3" r:id="rId3"/>
    <sheet name="Dashboard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E23" i="2"/>
  <c r="D14" i="3"/>
  <c r="D13" i="3"/>
  <c r="D12" i="3"/>
  <c r="D11" i="3"/>
  <c r="D10" i="3"/>
  <c r="D9" i="3"/>
  <c r="D8" i="3"/>
  <c r="D7" i="3"/>
  <c r="D6" i="3"/>
  <c r="D5" i="3"/>
  <c r="D4" i="3"/>
  <c r="D3" i="3"/>
  <c r="D2" i="3"/>
  <c r="C40" i="2"/>
  <c r="H30" i="2"/>
  <c r="C41" i="2" s="1"/>
  <c r="G30" i="2"/>
  <c r="E30" i="2"/>
  <c r="H27" i="2"/>
  <c r="G27" i="2"/>
  <c r="E27" i="2"/>
  <c r="H24" i="2"/>
  <c r="G24" i="2"/>
  <c r="I24" i="2" s="1"/>
  <c r="J24" i="2" s="1"/>
  <c r="H23" i="2"/>
  <c r="C39" i="2" s="1"/>
  <c r="G23" i="2"/>
  <c r="I23" i="2" s="1"/>
  <c r="J23" i="2" s="1"/>
  <c r="H20" i="2"/>
  <c r="E20" i="2" s="1"/>
  <c r="G20" i="2"/>
  <c r="I20" i="2" s="1"/>
  <c r="J20" i="2" s="1"/>
  <c r="H19" i="2"/>
  <c r="G19" i="2"/>
  <c r="I19" i="2" s="1"/>
  <c r="J19" i="2" s="1"/>
  <c r="H18" i="2"/>
  <c r="C38" i="2" s="1"/>
  <c r="G18" i="2"/>
  <c r="I18" i="2" s="1"/>
  <c r="J18" i="2" s="1"/>
  <c r="H15" i="2"/>
  <c r="G15" i="2"/>
  <c r="I15" i="2" s="1"/>
  <c r="J15" i="2" s="1"/>
  <c r="H14" i="2"/>
  <c r="G14" i="2"/>
  <c r="I14" i="2" s="1"/>
  <c r="H13" i="2"/>
  <c r="E15" i="2" s="1"/>
  <c r="G13" i="2"/>
  <c r="I13" i="2" s="1"/>
  <c r="J13" i="2" s="1"/>
  <c r="H10" i="2"/>
  <c r="G10" i="2"/>
  <c r="I10" i="2" s="1"/>
  <c r="J10" i="2" s="1"/>
  <c r="H7" i="2"/>
  <c r="C35" i="2" s="1"/>
  <c r="G7" i="2"/>
  <c r="I7" i="2" s="1"/>
  <c r="J7" i="2" s="1"/>
  <c r="H6" i="2"/>
  <c r="G6" i="2"/>
  <c r="I6" i="2" s="1"/>
  <c r="J6" i="2" s="1"/>
  <c r="H5" i="2"/>
  <c r="G5" i="2"/>
  <c r="I5" i="2" s="1"/>
  <c r="J5" i="2" s="1"/>
  <c r="H4" i="2"/>
  <c r="G4" i="2"/>
  <c r="I4" i="2" s="1"/>
  <c r="J4" i="2" s="1"/>
  <c r="E19" i="2" l="1"/>
  <c r="E18" i="2"/>
  <c r="E14" i="2"/>
  <c r="E13" i="2"/>
  <c r="E10" i="2"/>
  <c r="C36" i="2"/>
  <c r="E7" i="2"/>
  <c r="E6" i="2"/>
  <c r="E5" i="2"/>
  <c r="E4" i="2"/>
  <c r="C37" i="2"/>
  <c r="C45" i="2" s="1"/>
  <c r="J14" i="2"/>
  <c r="C20" i="1"/>
  <c r="C22" i="1"/>
  <c r="C21" i="1"/>
  <c r="C43" i="2" l="1"/>
  <c r="C19" i="1" s="1"/>
  <c r="C31" i="1"/>
  <c r="D11" i="1" s="1"/>
  <c r="E11" i="1" s="1"/>
  <c r="D37" i="2"/>
  <c r="D40" i="2"/>
  <c r="D20" i="1" s="1"/>
  <c r="D4" i="1" s="1"/>
  <c r="E4" i="1" s="1"/>
  <c r="D35" i="2"/>
  <c r="D36" i="2"/>
  <c r="D41" i="2"/>
  <c r="D22" i="1" s="1"/>
  <c r="D6" i="1" s="1"/>
  <c r="E6" i="1" s="1"/>
  <c r="D39" i="2"/>
  <c r="D21" i="1" s="1"/>
  <c r="D5" i="1" s="1"/>
  <c r="E5" i="1" s="1"/>
  <c r="D38" i="2"/>
  <c r="D19" i="1"/>
  <c r="D3" i="1" s="1"/>
  <c r="E3" i="1" s="1"/>
  <c r="C30" i="1" l="1"/>
  <c r="D10" i="1" s="1"/>
  <c r="E10" i="1" s="1"/>
  <c r="C32" i="1"/>
  <c r="D12" i="1" s="1"/>
  <c r="E12" i="1" s="1"/>
  <c r="C29" i="1"/>
  <c r="D9" i="1" s="1"/>
  <c r="E9" i="1" s="1"/>
</calcChain>
</file>

<file path=xl/sharedStrings.xml><?xml version="1.0" encoding="utf-8"?>
<sst xmlns="http://schemas.openxmlformats.org/spreadsheetml/2006/main" count="121" uniqueCount="63">
  <si>
    <t>Portfolio Dashboard</t>
  </si>
  <si>
    <t>Asset Class</t>
  </si>
  <si>
    <t>Target Allocation (%)</t>
  </si>
  <si>
    <t>Actual Allocation (%)</t>
  </si>
  <si>
    <t>Difference</t>
  </si>
  <si>
    <t>Kenyan Stocks</t>
  </si>
  <si>
    <t>Treasury Bonds</t>
  </si>
  <si>
    <t>Foreign ETFs</t>
  </si>
  <si>
    <t>Cash/MMF</t>
  </si>
  <si>
    <t>Kenyan-Stock Sector</t>
  </si>
  <si>
    <t>Banking</t>
  </si>
  <si>
    <t>Telecom</t>
  </si>
  <si>
    <t>Insurance</t>
  </si>
  <si>
    <t>Energy</t>
  </si>
  <si>
    <t>Present State</t>
  </si>
  <si>
    <t>Value (Kshs.)</t>
  </si>
  <si>
    <t>Percentage</t>
  </si>
  <si>
    <t>Average Interest</t>
  </si>
  <si>
    <t>Asset Value</t>
  </si>
  <si>
    <t>Asset</t>
  </si>
  <si>
    <t>Sector</t>
  </si>
  <si>
    <t>Target %</t>
  </si>
  <si>
    <t>Shares</t>
  </si>
  <si>
    <t>Shares Percentage</t>
  </si>
  <si>
    <t>Buy Price</t>
  </si>
  <si>
    <t>Current Price</t>
  </si>
  <si>
    <t>Cost Value</t>
  </si>
  <si>
    <t>Market Value</t>
  </si>
  <si>
    <t>Gain/Loss</t>
  </si>
  <si>
    <t>Co-op Bank</t>
  </si>
  <si>
    <t>Equity</t>
  </si>
  <si>
    <t>KCB</t>
  </si>
  <si>
    <t>NCBA</t>
  </si>
  <si>
    <t>Telecommunication</t>
  </si>
  <si>
    <t>Safaricom</t>
  </si>
  <si>
    <t>Jubilee</t>
  </si>
  <si>
    <t>CIC</t>
  </si>
  <si>
    <t>Britam</t>
  </si>
  <si>
    <t>KenGen</t>
  </si>
  <si>
    <t>Kenya Power</t>
  </si>
  <si>
    <t>Total Energies Marketing</t>
  </si>
  <si>
    <t>ETFs</t>
  </si>
  <si>
    <t>VOO / IVV</t>
  </si>
  <si>
    <t>ETF</t>
  </si>
  <si>
    <t>VT</t>
  </si>
  <si>
    <t>Fixed Income</t>
  </si>
  <si>
    <t>Liquid Cash</t>
  </si>
  <si>
    <t>Money Market Fund</t>
  </si>
  <si>
    <t>Cash</t>
  </si>
  <si>
    <t>Sector Value</t>
  </si>
  <si>
    <t>Total Value</t>
  </si>
  <si>
    <t>Portfolio Percentage</t>
  </si>
  <si>
    <t>Charts</t>
  </si>
  <si>
    <t>Total Portfolio Value</t>
  </si>
  <si>
    <t>Date</t>
  </si>
  <si>
    <t>Dividend per Share</t>
  </si>
  <si>
    <t>Total Dividend</t>
  </si>
  <si>
    <t>Co-op</t>
  </si>
  <si>
    <t>Britam Holdings</t>
  </si>
  <si>
    <t>KPLC</t>
  </si>
  <si>
    <t>Total Energies</t>
  </si>
  <si>
    <t>VOO/IVV</t>
  </si>
  <si>
    <t>Allocation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</si>
</sst>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C000"/>
      <name val="Times New Roman"/>
      <family val="1"/>
    </font>
    <font>
      <sz val="11"/>
      <color rgb="FFF1E9CB"/>
      <name val="Calibri"/>
      <family val="2"/>
      <scheme val="minor"/>
    </font>
    <font>
      <b/>
      <sz val="14"/>
      <color rgb="FFEAECE6"/>
      <name val="Georgia"/>
      <family val="1"/>
    </font>
    <font>
      <b/>
      <sz val="14"/>
      <color rgb="FFF1E9CB"/>
      <name val="Georgia"/>
      <family val="1"/>
    </font>
    <font>
      <sz val="11"/>
      <color rgb="FF2F332E"/>
      <name val="Georgia"/>
      <family val="1"/>
    </font>
    <font>
      <sz val="11"/>
      <color theme="1"/>
      <name val="Georgia"/>
      <family val="1"/>
    </font>
    <font>
      <b/>
      <sz val="14"/>
      <color rgb="FFFFC000"/>
      <name val="Georgia"/>
      <family val="1"/>
    </font>
    <font>
      <b/>
      <sz val="16"/>
      <color rgb="FFFFC000"/>
      <name val="Georgia"/>
      <family val="1"/>
    </font>
    <font>
      <b/>
      <sz val="12"/>
      <name val="Georgia"/>
      <family val="1"/>
    </font>
    <font>
      <b/>
      <sz val="14"/>
      <color theme="6" tint="-0.499984740745262"/>
      <name val="Georgia"/>
      <family val="1"/>
    </font>
    <font>
      <b/>
      <sz val="12"/>
      <color theme="1"/>
      <name val="Georgia"/>
      <family val="1"/>
    </font>
    <font>
      <b/>
      <sz val="20"/>
      <color rgb="FFEAECE6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rgb="FFFDFB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EAECE6"/>
        <bgColor indexed="64"/>
      </patternFill>
    </fill>
    <fill>
      <patternFill patternType="solid">
        <fgColor rgb="FFE6DF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4436"/>
        <bgColor indexed="64"/>
      </patternFill>
    </fill>
    <fill>
      <patternFill patternType="solid">
        <fgColor rgb="FFF1E9C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6" borderId="0" xfId="0" applyFont="1" applyFill="1"/>
    <xf numFmtId="0" fontId="6" fillId="6" borderId="0" xfId="0" applyFont="1" applyFill="1"/>
    <xf numFmtId="0" fontId="5" fillId="2" borderId="0" xfId="0" applyFont="1" applyFill="1"/>
    <xf numFmtId="0" fontId="5" fillId="5" borderId="0" xfId="0" applyFont="1" applyFill="1"/>
    <xf numFmtId="0" fontId="6" fillId="6" borderId="0" xfId="0" applyFont="1" applyFill="1" applyAlignment="1">
      <alignment horizontal="center"/>
    </xf>
    <xf numFmtId="0" fontId="6" fillId="5" borderId="0" xfId="0" applyFont="1" applyFill="1"/>
    <xf numFmtId="0" fontId="8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9" fillId="6" borderId="0" xfId="0" applyFont="1" applyFill="1"/>
    <xf numFmtId="0" fontId="9" fillId="5" borderId="0" xfId="0" applyFont="1" applyFill="1"/>
    <xf numFmtId="0" fontId="6" fillId="0" borderId="0" xfId="0" applyFont="1"/>
    <xf numFmtId="2" fontId="4" fillId="3" borderId="0" xfId="0" applyNumberFormat="1" applyFont="1" applyFill="1" applyAlignment="1">
      <alignment horizontal="center"/>
    </xf>
    <xf numFmtId="2" fontId="5" fillId="6" borderId="0" xfId="0" applyNumberFormat="1" applyFont="1" applyFill="1"/>
    <xf numFmtId="2" fontId="5" fillId="2" borderId="0" xfId="0" applyNumberFormat="1" applyFont="1" applyFill="1"/>
    <xf numFmtId="2" fontId="5" fillId="5" borderId="0" xfId="0" applyNumberFormat="1" applyFont="1" applyFill="1"/>
    <xf numFmtId="2" fontId="9" fillId="6" borderId="0" xfId="0" applyNumberFormat="1" applyFont="1" applyFill="1"/>
    <xf numFmtId="2" fontId="9" fillId="5" borderId="0" xfId="0" applyNumberFormat="1" applyFont="1" applyFill="1"/>
    <xf numFmtId="2" fontId="6" fillId="5" borderId="0" xfId="0" applyNumberFormat="1" applyFont="1" applyFill="1"/>
    <xf numFmtId="2" fontId="6" fillId="6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/>
    </xf>
    <xf numFmtId="0" fontId="11" fillId="6" borderId="0" xfId="0" applyFont="1" applyFill="1"/>
    <xf numFmtId="2" fontId="11" fillId="6" borderId="0" xfId="0" applyNumberFormat="1" applyFont="1" applyFill="1"/>
    <xf numFmtId="0" fontId="6" fillId="10" borderId="0" xfId="0" applyFont="1" applyFill="1"/>
    <xf numFmtId="0" fontId="0" fillId="10" borderId="0" xfId="0" applyFill="1"/>
    <xf numFmtId="0" fontId="5" fillId="10" borderId="0" xfId="0" applyFont="1" applyFill="1" applyAlignment="1">
      <alignment horizontal="center"/>
    </xf>
    <xf numFmtId="2" fontId="6" fillId="10" borderId="0" xfId="0" applyNumberFormat="1" applyFont="1" applyFill="1"/>
    <xf numFmtId="10" fontId="6" fillId="10" borderId="0" xfId="0" applyNumberFormat="1" applyFont="1" applyFill="1"/>
    <xf numFmtId="10" fontId="6" fillId="5" borderId="0" xfId="0" applyNumberFormat="1" applyFont="1" applyFill="1"/>
    <xf numFmtId="0" fontId="6" fillId="11" borderId="0" xfId="0" applyFont="1" applyFill="1"/>
    <xf numFmtId="0" fontId="0" fillId="11" borderId="0" xfId="0" applyFill="1"/>
    <xf numFmtId="0" fontId="6" fillId="9" borderId="0" xfId="0" applyFont="1" applyFill="1"/>
    <xf numFmtId="0" fontId="0" fillId="9" borderId="0" xfId="0" applyFill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0" fontId="5" fillId="5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4" fillId="3" borderId="0" xfId="0" applyFont="1" applyFill="1"/>
    <xf numFmtId="0" fontId="3" fillId="8" borderId="0" xfId="0" applyFont="1" applyFill="1" applyAlignment="1">
      <alignment horizontal="center"/>
    </xf>
    <xf numFmtId="0" fontId="0" fillId="0" borderId="0" xfId="0"/>
    <xf numFmtId="2" fontId="0" fillId="0" borderId="0" xfId="0" applyNumberFormat="1"/>
    <xf numFmtId="0" fontId="10" fillId="9" borderId="0" xfId="0" applyFont="1" applyFill="1" applyAlignment="1">
      <alignment horizontal="center"/>
    </xf>
    <xf numFmtId="0" fontId="0" fillId="7" borderId="0" xfId="0" applyFill="1"/>
    <xf numFmtId="0" fontId="7" fillId="3" borderId="0" xfId="0" applyFont="1" applyFill="1" applyAlignment="1">
      <alignment horizontal="center"/>
    </xf>
    <xf numFmtId="0" fontId="0" fillId="6" borderId="0" xfId="0" applyFill="1"/>
    <xf numFmtId="0" fontId="8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Target Allocation (%)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D55-4B55-85FE-C203AAE2D344}"/>
              </c:ext>
            </c:extLst>
          </c:dPt>
          <c:dPt>
            <c:idx val="1"/>
            <c:bubble3D val="0"/>
            <c:spPr>
              <a:solidFill>
                <a:srgbClr val="3B4436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D55-4B55-85FE-C203AAE2D3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D55-4B55-85FE-C203AAE2D344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D55-4B55-85FE-C203AAE2D34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Dashboard!$B$3:$B$6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55-4B55-85FE-C203AAE2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9648-473A-8EB9-A0E1E93F2AB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9648-473A-8EB9-A0E1E93F2ABE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9648-473A-8EB9-A0E1E93F2ABE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9648-473A-8EB9-A0E1E93F2AB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Dashboard!$B$29:$B$32</c:f>
              <c:strCache>
                <c:ptCount val="4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</c:strCache>
            </c:strRef>
          </c:cat>
          <c:val>
            <c:numRef>
              <c:f>Dashboard!$C$29:$C$32</c:f>
              <c:numCache>
                <c:formatCode>0.00</c:formatCode>
                <c:ptCount val="4"/>
                <c:pt idx="0">
                  <c:v>33.161840930597691</c:v>
                </c:pt>
                <c:pt idx="1">
                  <c:v>18.572087410384142</c:v>
                </c:pt>
                <c:pt idx="2">
                  <c:v>23.988044691002454</c:v>
                </c:pt>
                <c:pt idx="3">
                  <c:v>24.278026968015713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48-473A-8EB9-A0E1E93F2A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layout>
        <c:manualLayout>
          <c:xMode val="edge"/>
          <c:yMode val="edge"/>
          <c:x val="0.35257962967485351"/>
          <c:y val="1.78867109249307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3655-4199-B2AD-37709BF781E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3655-4199-B2AD-37709BF781E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3655-4199-B2AD-37709BF781EF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3655-4199-B2AD-37709BF781E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Dashboard!$B$19:$B$22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Dashboard!$D$19:$D$22</c:f>
              <c:numCache>
                <c:formatCode>0.00</c:formatCode>
                <c:ptCount val="4"/>
                <c:pt idx="0">
                  <c:v>52.866851946857807</c:v>
                </c:pt>
                <c:pt idx="1">
                  <c:v>24.218872323757111</c:v>
                </c:pt>
                <c:pt idx="2">
                  <c:v>14.908036944671979</c:v>
                </c:pt>
                <c:pt idx="3">
                  <c:v>8.0062387847130942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55-4199-B2AD-37709BF781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43B7-480F-8C53-90E5C3E8E3F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43B7-480F-8C53-90E5C3E8E3F2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43B7-480F-8C53-90E5C3E8E3F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43B7-480F-8C53-90E5C3E8E3F2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43B7-480F-8C53-90E5C3E8E3F2}"/>
              </c:ext>
            </c:extLst>
          </c:dPt>
          <c:dPt>
            <c:idx val="5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43B7-480F-8C53-90E5C3E8E3F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43B7-480F-8C53-90E5C3E8E3F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3B7-480F-8C53-90E5C3E8E3F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3B7-480F-8C53-90E5C3E8E3F2}"/>
                </c:ext>
              </c:extLst>
            </c:dLbl>
            <c:dLbl>
              <c:idx val="6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3B7-480F-8C53-90E5C3E8E3F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Holdings!$B$35:$B$41</c:f>
              <c:strCache>
                <c:ptCount val="7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  <c:pt idx="4">
                  <c:v>ETFs</c:v>
                </c:pt>
                <c:pt idx="5">
                  <c:v>Fixed Income</c:v>
                </c:pt>
                <c:pt idx="6">
                  <c:v>Liquid Cash</c:v>
                </c:pt>
              </c:strCache>
            </c:strRef>
          </c:cat>
          <c:val>
            <c:numRef>
              <c:f>Holdings!$D$35:$D$41</c:f>
              <c:numCache>
                <c:formatCode>0.00</c:formatCode>
                <c:ptCount val="7"/>
                <c:pt idx="0">
                  <c:v>17.531621347631578</c:v>
                </c:pt>
                <c:pt idx="1">
                  <c:v>9.8184779546888024</c:v>
                </c:pt>
                <c:pt idx="2">
                  <c:v>12.681724071738351</c:v>
                </c:pt>
                <c:pt idx="3">
                  <c:v>12.835028572799079</c:v>
                </c:pt>
                <c:pt idx="4">
                  <c:v>14.908036944671979</c:v>
                </c:pt>
                <c:pt idx="5">
                  <c:v>24.218872323757111</c:v>
                </c:pt>
                <c:pt idx="6">
                  <c:v>8.0062387847130942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B7-480F-8C53-90E5C3E8E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0</xdr:rowOff>
    </xdr:from>
    <xdr:to>
      <xdr:col>13</xdr:col>
      <xdr:colOff>34925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197556</xdr:colOff>
      <xdr:row>25</xdr:row>
      <xdr:rowOff>70556</xdr:rowOff>
    </xdr:from>
    <xdr:to>
      <xdr:col>9</xdr:col>
      <xdr:colOff>402167</xdr:colOff>
      <xdr:row>36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176388</xdr:colOff>
      <xdr:row>16</xdr:row>
      <xdr:rowOff>134761</xdr:rowOff>
    </xdr:from>
    <xdr:to>
      <xdr:col>12</xdr:col>
      <xdr:colOff>310444</xdr:colOff>
      <xdr:row>27</xdr:row>
      <xdr:rowOff>162278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1333500</xdr:colOff>
      <xdr:row>32</xdr:row>
      <xdr:rowOff>227805</xdr:rowOff>
    </xdr:from>
    <xdr:to>
      <xdr:col>10</xdr:col>
      <xdr:colOff>480219</xdr:colOff>
      <xdr:row>48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opLeftCell="A12" zoomScale="85" zoomScaleNormal="85" workbookViewId="0">
      <selection activeCell="D26" sqref="D26"/>
    </sheetView>
  </sheetViews>
  <sheetFormatPr defaultRowHeight="14.5" x14ac:dyDescent="0.35"/>
  <cols>
    <col min="2" max="2" width="28.90625" bestFit="1" customWidth="1"/>
    <col min="3" max="3" width="29.6328125" bestFit="1" customWidth="1"/>
    <col min="4" max="4" width="29.7265625" bestFit="1" customWidth="1"/>
    <col min="5" max="5" width="23.08984375" bestFit="1" customWidth="1"/>
  </cols>
  <sheetData>
    <row r="1" spans="1:21" s="4" customFormat="1" ht="25" customHeight="1" x14ac:dyDescent="0.5">
      <c r="A1" s="62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"/>
      <c r="O1" s="5"/>
      <c r="P1" s="5"/>
      <c r="Q1" s="5"/>
      <c r="R1" s="5"/>
      <c r="S1" s="5"/>
      <c r="T1" s="5"/>
      <c r="U1" s="5"/>
    </row>
    <row r="2" spans="1:21" s="44" customFormat="1" ht="17.5" customHeight="1" x14ac:dyDescent="0.35">
      <c r="A2" s="43"/>
      <c r="B2" s="47" t="s">
        <v>1</v>
      </c>
      <c r="C2" s="47" t="s">
        <v>2</v>
      </c>
      <c r="D2" s="48" t="s">
        <v>3</v>
      </c>
      <c r="E2" s="48" t="s">
        <v>4</v>
      </c>
      <c r="F2" s="43"/>
      <c r="G2" s="43"/>
      <c r="H2" s="43"/>
      <c r="I2" s="43"/>
      <c r="J2" s="43"/>
      <c r="K2" s="43"/>
      <c r="L2" s="43"/>
      <c r="M2" s="43"/>
    </row>
    <row r="3" spans="1:21" s="3" customFormat="1" x14ac:dyDescent="0.35">
      <c r="A3" s="14"/>
      <c r="B3" s="49" t="s">
        <v>5</v>
      </c>
      <c r="C3" s="32">
        <v>50</v>
      </c>
      <c r="D3" s="27">
        <f>D19</f>
        <v>52.866851946857807</v>
      </c>
      <c r="E3" s="27">
        <f>D3-C3</f>
        <v>2.8668519468578069</v>
      </c>
      <c r="F3" s="14"/>
      <c r="G3" s="14"/>
      <c r="H3" s="14"/>
      <c r="I3" s="14"/>
      <c r="J3" s="14"/>
      <c r="K3" s="14"/>
      <c r="L3" s="14"/>
      <c r="M3" s="14"/>
    </row>
    <row r="4" spans="1:21" s="1" customFormat="1" x14ac:dyDescent="0.35">
      <c r="A4" s="33"/>
      <c r="B4" s="50" t="s">
        <v>6</v>
      </c>
      <c r="C4" s="34">
        <v>30</v>
      </c>
      <c r="D4" s="27">
        <f>D20</f>
        <v>24.218872323757111</v>
      </c>
      <c r="E4" s="27">
        <f>D4-C4</f>
        <v>-5.7811276762428889</v>
      </c>
      <c r="F4" s="33"/>
      <c r="G4" s="33"/>
      <c r="H4" s="33"/>
      <c r="I4" s="33"/>
      <c r="J4" s="33"/>
      <c r="K4" s="33"/>
      <c r="L4" s="33"/>
      <c r="M4" s="33"/>
      <c r="N4" s="2"/>
      <c r="O4" s="2"/>
      <c r="P4" s="2"/>
      <c r="Q4" s="2"/>
      <c r="R4" s="2"/>
      <c r="S4" s="2"/>
      <c r="T4" s="2"/>
      <c r="U4" s="2"/>
    </row>
    <row r="5" spans="1:21" s="3" customFormat="1" x14ac:dyDescent="0.35">
      <c r="A5" s="14"/>
      <c r="B5" s="49" t="s">
        <v>7</v>
      </c>
      <c r="C5" s="32">
        <v>15</v>
      </c>
      <c r="D5" s="27">
        <f>D21</f>
        <v>14.908036944671979</v>
      </c>
      <c r="E5" s="27">
        <f>D5-C5</f>
        <v>-9.1963055328021071E-2</v>
      </c>
      <c r="F5" s="14"/>
      <c r="G5" s="14"/>
      <c r="H5" s="14"/>
      <c r="I5" s="14"/>
      <c r="J5" s="14"/>
      <c r="K5" s="14"/>
      <c r="L5" s="14"/>
      <c r="M5" s="14"/>
    </row>
    <row r="6" spans="1:21" x14ac:dyDescent="0.35">
      <c r="A6" s="33"/>
      <c r="B6" s="50" t="s">
        <v>8</v>
      </c>
      <c r="C6" s="34">
        <v>5</v>
      </c>
      <c r="D6" s="27">
        <f>D22</f>
        <v>8.0062387847130942</v>
      </c>
      <c r="E6" s="27">
        <f>D6-C6</f>
        <v>3.0062387847130942</v>
      </c>
      <c r="F6" s="33"/>
      <c r="G6" s="33"/>
      <c r="H6" s="33"/>
      <c r="I6" s="33"/>
      <c r="J6" s="33"/>
      <c r="K6" s="33"/>
      <c r="L6" s="33"/>
      <c r="M6" s="33"/>
      <c r="N6" s="2"/>
      <c r="O6" s="2"/>
      <c r="P6" s="2"/>
      <c r="Q6" s="2"/>
      <c r="R6" s="2"/>
      <c r="S6" s="2"/>
      <c r="T6" s="2"/>
      <c r="U6" s="2"/>
    </row>
    <row r="7" spans="1:21" s="3" customForma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21" s="44" customFormat="1" ht="17.5" customHeight="1" x14ac:dyDescent="0.35">
      <c r="A8" s="43"/>
      <c r="B8" s="48" t="s">
        <v>9</v>
      </c>
      <c r="C8" s="48" t="s">
        <v>2</v>
      </c>
      <c r="D8" s="48" t="s">
        <v>3</v>
      </c>
      <c r="E8" s="48" t="s">
        <v>4</v>
      </c>
      <c r="F8" s="43"/>
      <c r="G8" s="43"/>
      <c r="H8" s="43"/>
      <c r="I8" s="43"/>
      <c r="J8" s="43"/>
      <c r="K8" s="43"/>
      <c r="L8" s="43"/>
      <c r="M8" s="43"/>
    </row>
    <row r="9" spans="1:21" s="3" customFormat="1" x14ac:dyDescent="0.35">
      <c r="A9" s="14"/>
      <c r="B9" s="14" t="s">
        <v>10</v>
      </c>
      <c r="C9" s="14">
        <v>30</v>
      </c>
      <c r="D9" s="27">
        <f>C29</f>
        <v>33.161840930597691</v>
      </c>
      <c r="E9" s="27">
        <f>D9-C9</f>
        <v>3.1618409305976911</v>
      </c>
      <c r="F9" s="14"/>
      <c r="G9" s="14"/>
      <c r="H9" s="14"/>
      <c r="I9" s="14"/>
      <c r="J9" s="14"/>
      <c r="K9" s="14"/>
      <c r="L9" s="14"/>
      <c r="M9" s="14"/>
    </row>
    <row r="10" spans="1:21" x14ac:dyDescent="0.35">
      <c r="A10" s="33"/>
      <c r="B10" s="33" t="s">
        <v>11</v>
      </c>
      <c r="C10" s="33">
        <v>20</v>
      </c>
      <c r="D10" s="27">
        <f>C30</f>
        <v>18.572087410384142</v>
      </c>
      <c r="E10" s="27">
        <f>D10-C10</f>
        <v>-1.4279125896158575</v>
      </c>
      <c r="F10" s="33"/>
      <c r="G10" s="33"/>
      <c r="H10" s="33"/>
      <c r="I10" s="33"/>
      <c r="J10" s="33"/>
      <c r="K10" s="33"/>
      <c r="L10" s="33"/>
      <c r="M10" s="33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35">
      <c r="A11" s="14"/>
      <c r="B11" s="14" t="s">
        <v>12</v>
      </c>
      <c r="C11" s="14">
        <v>20</v>
      </c>
      <c r="D11" s="27">
        <f>C31</f>
        <v>23.988044691002454</v>
      </c>
      <c r="E11" s="27">
        <f>D11-C11</f>
        <v>3.9880446910024538</v>
      </c>
      <c r="F11" s="14"/>
      <c r="G11" s="14"/>
      <c r="H11" s="14"/>
      <c r="I11" s="14"/>
      <c r="J11" s="14"/>
      <c r="K11" s="14"/>
      <c r="L11" s="14"/>
      <c r="M11" s="14"/>
    </row>
    <row r="12" spans="1:21" x14ac:dyDescent="0.35">
      <c r="A12" s="33"/>
      <c r="B12" s="33" t="s">
        <v>13</v>
      </c>
      <c r="C12" s="33">
        <v>30</v>
      </c>
      <c r="D12" s="27">
        <f>C32</f>
        <v>24.278026968015713</v>
      </c>
      <c r="E12" s="27">
        <f>D12-C12</f>
        <v>-5.7219730319842874</v>
      </c>
      <c r="F12" s="33"/>
      <c r="G12" s="33"/>
      <c r="H12" s="33"/>
      <c r="I12" s="33"/>
      <c r="J12" s="33"/>
      <c r="K12" s="33"/>
      <c r="L12" s="33"/>
      <c r="M12" s="33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21" x14ac:dyDescent="0.3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"/>
      <c r="O14" s="2"/>
      <c r="P14" s="2"/>
      <c r="Q14" s="2"/>
      <c r="R14" s="2"/>
      <c r="S14" s="2"/>
      <c r="T14" s="2"/>
      <c r="U14" s="2"/>
    </row>
    <row r="15" spans="1:21" s="3" customForma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21" x14ac:dyDescent="0.3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"/>
      <c r="O16" s="2"/>
      <c r="P16" s="2"/>
      <c r="Q16" s="2"/>
      <c r="R16" s="2"/>
      <c r="S16" s="2"/>
      <c r="T16" s="2"/>
      <c r="U16" s="2"/>
    </row>
    <row r="17" spans="1:21" ht="17.5" customHeight="1" x14ac:dyDescent="0.35">
      <c r="A17" s="61" t="s">
        <v>14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33"/>
      <c r="N17" s="2"/>
      <c r="O17" s="2"/>
      <c r="P17" s="2"/>
      <c r="Q17" s="2"/>
      <c r="R17" s="2"/>
      <c r="S17" s="2"/>
      <c r="T17" s="2"/>
      <c r="U17" s="2"/>
    </row>
    <row r="18" spans="1:21" s="44" customFormat="1" ht="17.5" customHeight="1" x14ac:dyDescent="0.35">
      <c r="A18" s="43"/>
      <c r="B18" s="48" t="s">
        <v>1</v>
      </c>
      <c r="C18" s="48" t="s">
        <v>15</v>
      </c>
      <c r="D18" s="48" t="s">
        <v>16</v>
      </c>
      <c r="E18" s="48" t="s">
        <v>17</v>
      </c>
      <c r="F18" s="43"/>
      <c r="G18" s="43"/>
      <c r="H18" s="43"/>
      <c r="I18" s="43"/>
      <c r="J18" s="43"/>
      <c r="K18" s="43"/>
      <c r="L18" s="43"/>
      <c r="M18" s="43"/>
    </row>
    <row r="19" spans="1:21" s="3" customFormat="1" x14ac:dyDescent="0.35">
      <c r="A19" s="14"/>
      <c r="B19" s="49" t="s">
        <v>5</v>
      </c>
      <c r="C19" s="27">
        <f>Holdings!C43</f>
        <v>13206413.99</v>
      </c>
      <c r="D19" s="27">
        <f>SUM(Holdings!D35:'Holdings'!D38)</f>
        <v>52.866851946857807</v>
      </c>
      <c r="E19" s="42">
        <v>9.5000000000000001E-2</v>
      </c>
      <c r="F19" s="14"/>
      <c r="G19" s="14"/>
      <c r="H19" s="14"/>
      <c r="I19" s="14"/>
      <c r="J19" s="14"/>
      <c r="K19" s="14"/>
      <c r="L19" s="14"/>
      <c r="M19" s="14"/>
    </row>
    <row r="20" spans="1:21" s="38" customFormat="1" x14ac:dyDescent="0.35">
      <c r="A20" s="37"/>
      <c r="B20" s="51" t="s">
        <v>6</v>
      </c>
      <c r="C20" s="40">
        <f>Holdings!C40</f>
        <v>6050000</v>
      </c>
      <c r="D20" s="40">
        <f>Holdings!D40</f>
        <v>24.218872323757111</v>
      </c>
      <c r="E20" s="41">
        <v>0.14499999999999999</v>
      </c>
      <c r="F20" s="37"/>
      <c r="G20" s="37"/>
      <c r="H20" s="37"/>
      <c r="I20" s="37"/>
      <c r="J20" s="37"/>
      <c r="K20" s="37"/>
      <c r="L20" s="37"/>
      <c r="M20" s="37"/>
    </row>
    <row r="21" spans="1:21" s="3" customFormat="1" x14ac:dyDescent="0.35">
      <c r="A21" s="14"/>
      <c r="B21" s="49" t="s">
        <v>7</v>
      </c>
      <c r="C21" s="27">
        <f>Holdings!C39</f>
        <v>3724105</v>
      </c>
      <c r="D21" s="27">
        <f>Holdings!D39</f>
        <v>14.908036944671979</v>
      </c>
      <c r="E21" s="42">
        <v>1.0500000000000001E-2</v>
      </c>
      <c r="F21" s="14"/>
      <c r="G21" s="14"/>
      <c r="H21" s="14"/>
      <c r="I21" s="14"/>
      <c r="J21" s="14"/>
      <c r="K21" s="14"/>
      <c r="L21" s="14"/>
      <c r="M21" s="14"/>
    </row>
    <row r="22" spans="1:21" s="38" customFormat="1" x14ac:dyDescent="0.35">
      <c r="A22" s="37"/>
      <c r="B22" s="51" t="s">
        <v>8</v>
      </c>
      <c r="C22" s="40">
        <f>Holdings!C41</f>
        <v>2000000</v>
      </c>
      <c r="D22" s="40">
        <f>Holdings!D41</f>
        <v>8.0062387847130942</v>
      </c>
      <c r="E22" s="41">
        <v>0.105</v>
      </c>
      <c r="F22" s="37"/>
      <c r="G22" s="37"/>
      <c r="H22" s="37"/>
      <c r="I22" s="37"/>
      <c r="J22" s="37"/>
      <c r="K22" s="37"/>
      <c r="L22" s="37"/>
      <c r="M22" s="37"/>
    </row>
    <row r="23" spans="1:21" s="3" customFormat="1" x14ac:dyDescent="0.35">
      <c r="A23" s="14"/>
      <c r="B23" s="32"/>
      <c r="C23" s="27"/>
      <c r="D23" s="27"/>
      <c r="E23" s="42"/>
      <c r="F23" s="14"/>
      <c r="G23" s="14"/>
      <c r="H23" s="14"/>
      <c r="I23" s="14"/>
      <c r="J23" s="14"/>
      <c r="K23" s="14"/>
      <c r="L23" s="14"/>
      <c r="M23" s="14"/>
    </row>
    <row r="24" spans="1:21" s="38" customFormat="1" x14ac:dyDescent="0.35">
      <c r="A24" s="37"/>
      <c r="B24" s="39"/>
      <c r="C24" s="40"/>
      <c r="D24" s="40"/>
      <c r="E24" s="41"/>
      <c r="F24" s="37"/>
      <c r="G24" s="37"/>
      <c r="H24" s="37"/>
      <c r="I24" s="37"/>
      <c r="J24" s="37"/>
      <c r="K24" s="37"/>
      <c r="L24" s="37"/>
      <c r="M24" s="37"/>
    </row>
    <row r="25" spans="1:21" s="3" customFormat="1" x14ac:dyDescent="0.35">
      <c r="A25" s="14"/>
      <c r="B25" s="32"/>
      <c r="C25" s="27"/>
      <c r="D25" s="27"/>
      <c r="E25" s="42"/>
      <c r="F25" s="14"/>
      <c r="G25" s="14"/>
      <c r="H25" s="14"/>
      <c r="I25" s="14"/>
      <c r="J25" s="14"/>
      <c r="K25" s="14"/>
      <c r="L25" s="14"/>
      <c r="M25" s="14"/>
    </row>
    <row r="26" spans="1:21" s="46" customFormat="1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21" s="3" customForma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21" s="44" customFormat="1" ht="17.5" customHeight="1" x14ac:dyDescent="0.35">
      <c r="A28" s="43"/>
      <c r="B28" s="48" t="s">
        <v>9</v>
      </c>
      <c r="C28" s="48" t="s">
        <v>16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21" s="38" customFormat="1" x14ac:dyDescent="0.35">
      <c r="A29" s="37"/>
      <c r="B29" s="37" t="s">
        <v>10</v>
      </c>
      <c r="C29" s="40">
        <f>Holdings!C35/C19*100</f>
        <v>33.161840930597691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21" s="3" customFormat="1" x14ac:dyDescent="0.35">
      <c r="A30" s="14"/>
      <c r="B30" s="14" t="s">
        <v>11</v>
      </c>
      <c r="C30" s="27">
        <f>Holdings!C36/C19*100</f>
        <v>18.572087410384142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21" s="38" customFormat="1" x14ac:dyDescent="0.35">
      <c r="A31" s="37"/>
      <c r="B31" s="37" t="s">
        <v>12</v>
      </c>
      <c r="C31" s="40">
        <f>Holdings!C37/C19*100</f>
        <v>23.988044691002454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21" s="3" customFormat="1" x14ac:dyDescent="0.35">
      <c r="A32" s="14"/>
      <c r="B32" s="14" t="s">
        <v>13</v>
      </c>
      <c r="C32" s="27">
        <f>Holdings!C38/C19*100</f>
        <v>24.278026968015713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s="38" customForma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s="3" customForma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s="46" customForma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s="3" customForma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s="46" customForma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s="3" customForma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s="46" customForma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 s="3" customForma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</sheetData>
  <mergeCells count="2">
    <mergeCell ref="A17:L17"/>
    <mergeCell ref="A1:M1"/>
  </mergeCells>
  <conditionalFormatting sqref="E3:E6">
    <cfRule type="cellIs" dxfId="8" priority="7" operator="equal">
      <formula>0</formula>
    </cfRule>
    <cfRule type="cellIs" dxfId="7" priority="8" operator="notBetween">
      <formula>-3</formula>
      <formula>3</formula>
    </cfRule>
    <cfRule type="cellIs" dxfId="6" priority="9" operator="between">
      <formula>-3</formula>
      <formula>3</formula>
    </cfRule>
    <cfRule type="cellIs" dxfId="5" priority="10" operator="greaterThan">
      <formula>3</formula>
    </cfRule>
  </conditionalFormatting>
  <conditionalFormatting sqref="E9:E12">
    <cfRule type="cellIs" dxfId="4" priority="1" operator="between">
      <formula>-3</formula>
      <formula>3</formula>
    </cfRule>
    <cfRule type="cellIs" dxfId="3" priority="2" operator="equal">
      <formula>0</formula>
    </cfRule>
    <cfRule type="cellIs" dxfId="2" priority="4" operator="notBetween">
      <formula>-3</formula>
      <formula>3</formula>
    </cfRule>
    <cfRule type="cellIs" dxfId="1" priority="5" operator="between">
      <formula>-3</formula>
      <formula>3</formula>
    </cfRule>
    <cfRule type="cellIs" dxfId="0" priority="6" operator="greaterThan">
      <formula>3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abSelected="1" zoomScale="80" zoomScaleNormal="80" workbookViewId="0">
      <selection activeCell="D21" sqref="D21"/>
    </sheetView>
  </sheetViews>
  <sheetFormatPr defaultRowHeight="14.5" x14ac:dyDescent="0.35"/>
  <cols>
    <col min="1" max="1" width="24.26953125" bestFit="1" customWidth="1"/>
    <col min="2" max="2" width="24.90625" bestFit="1" customWidth="1"/>
    <col min="3" max="3" width="17.7265625" style="30" bestFit="1" customWidth="1"/>
    <col min="4" max="4" width="28.08984375" bestFit="1" customWidth="1"/>
    <col min="5" max="5" width="25.81640625" style="30" bestFit="1" customWidth="1"/>
    <col min="6" max="6" width="18" customWidth="1"/>
    <col min="7" max="7" width="19.36328125" bestFit="1" customWidth="1"/>
    <col min="8" max="8" width="18" customWidth="1"/>
    <col min="9" max="9" width="19.1796875" bestFit="1" customWidth="1"/>
    <col min="10" max="10" width="14.6328125" bestFit="1" customWidth="1"/>
  </cols>
  <sheetData>
    <row r="1" spans="1:15" ht="17.5" customHeight="1" x14ac:dyDescent="0.35">
      <c r="A1" s="53" t="s">
        <v>18</v>
      </c>
      <c r="B1" s="54"/>
      <c r="C1" s="55"/>
      <c r="D1" s="54"/>
      <c r="E1" s="55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s="7" customFormat="1" ht="17.5" customHeight="1" x14ac:dyDescent="0.35">
      <c r="A2" s="8" t="s">
        <v>19</v>
      </c>
      <c r="B2" s="8" t="s">
        <v>20</v>
      </c>
      <c r="C2" s="21" t="s">
        <v>21</v>
      </c>
      <c r="D2" s="8" t="s">
        <v>22</v>
      </c>
      <c r="E2" s="21" t="s">
        <v>23</v>
      </c>
      <c r="F2" s="8" t="s">
        <v>24</v>
      </c>
      <c r="G2" s="8" t="s">
        <v>25</v>
      </c>
      <c r="H2" s="8" t="s">
        <v>26</v>
      </c>
      <c r="I2" s="52" t="s">
        <v>27</v>
      </c>
      <c r="J2" s="52" t="s">
        <v>28</v>
      </c>
      <c r="K2" s="52"/>
      <c r="L2" s="52"/>
      <c r="M2" s="52"/>
      <c r="N2" s="52"/>
      <c r="O2" s="52"/>
    </row>
    <row r="3" spans="1:15" s="6" customFormat="1" ht="17.5" customHeight="1" x14ac:dyDescent="0.35">
      <c r="A3" s="56" t="s">
        <v>10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s="4" customFormat="1" x14ac:dyDescent="0.35">
      <c r="A4" s="9" t="s">
        <v>29</v>
      </c>
      <c r="B4" s="9" t="s">
        <v>10</v>
      </c>
      <c r="C4" s="22">
        <v>5</v>
      </c>
      <c r="D4" s="9">
        <v>34000</v>
      </c>
      <c r="E4" s="22">
        <f>H4/(SUM(H4:H7))*100</f>
        <v>24.920709945678606</v>
      </c>
      <c r="F4" s="9">
        <v>32.1</v>
      </c>
      <c r="G4" s="9">
        <f>F4+2</f>
        <v>34.1</v>
      </c>
      <c r="H4" s="9">
        <f>D4*F4</f>
        <v>1091400</v>
      </c>
      <c r="I4" s="10">
        <f>D4*G4</f>
        <v>1159400</v>
      </c>
      <c r="J4" s="10">
        <f>I4-H4</f>
        <v>68000</v>
      </c>
      <c r="K4" s="10"/>
      <c r="L4" s="10"/>
      <c r="M4" s="10"/>
      <c r="N4" s="10"/>
      <c r="O4" s="10"/>
    </row>
    <row r="5" spans="1:15" s="1" customFormat="1" x14ac:dyDescent="0.35">
      <c r="A5" s="11" t="s">
        <v>30</v>
      </c>
      <c r="B5" s="11" t="s">
        <v>10</v>
      </c>
      <c r="C5" s="23">
        <v>5</v>
      </c>
      <c r="D5" s="11">
        <v>10000</v>
      </c>
      <c r="E5" s="22">
        <f>H5/(SUM(H4:H7))*100</f>
        <v>16.954028893775302</v>
      </c>
      <c r="F5" s="11">
        <v>74.25</v>
      </c>
      <c r="G5" s="9">
        <f>F5+2</f>
        <v>76.25</v>
      </c>
      <c r="H5" s="11">
        <f>D5*F5</f>
        <v>742500</v>
      </c>
      <c r="I5" s="10">
        <f>D5*G5</f>
        <v>762500</v>
      </c>
      <c r="J5" s="10">
        <f>I5-H5</f>
        <v>20000</v>
      </c>
      <c r="K5" s="10"/>
      <c r="L5" s="10"/>
      <c r="M5" s="10"/>
      <c r="N5" s="10"/>
      <c r="O5" s="10"/>
    </row>
    <row r="6" spans="1:15" s="4" customFormat="1" x14ac:dyDescent="0.35">
      <c r="A6" s="9" t="s">
        <v>31</v>
      </c>
      <c r="B6" s="9" t="s">
        <v>10</v>
      </c>
      <c r="C6" s="22">
        <v>5</v>
      </c>
      <c r="D6" s="9">
        <v>19000</v>
      </c>
      <c r="E6" s="22">
        <f>H6/(SUM(H4:H7))*100</f>
        <v>28.958851373105087</v>
      </c>
      <c r="F6" s="9">
        <v>66.75</v>
      </c>
      <c r="G6" s="9">
        <f>F6+2</f>
        <v>68.75</v>
      </c>
      <c r="H6" s="9">
        <f>D6*F6</f>
        <v>1268250</v>
      </c>
      <c r="I6" s="10">
        <f>D6*G6</f>
        <v>1306250</v>
      </c>
      <c r="J6" s="10">
        <f>I6-H6</f>
        <v>38000</v>
      </c>
      <c r="K6" s="10"/>
      <c r="L6" s="10"/>
      <c r="M6" s="10"/>
      <c r="N6" s="10"/>
      <c r="O6" s="10"/>
    </row>
    <row r="7" spans="1:15" s="1" customFormat="1" x14ac:dyDescent="0.35">
      <c r="A7" s="11" t="s">
        <v>32</v>
      </c>
      <c r="B7" s="11" t="s">
        <v>10</v>
      </c>
      <c r="C7" s="23">
        <v>5</v>
      </c>
      <c r="D7" s="11">
        <v>14640</v>
      </c>
      <c r="E7" s="22">
        <f>H7/(SUM(H4:H7))*100</f>
        <v>29.166409787441005</v>
      </c>
      <c r="F7" s="11">
        <v>87.25</v>
      </c>
      <c r="G7" s="9">
        <f>F7+2</f>
        <v>89.25</v>
      </c>
      <c r="H7" s="11">
        <f>D7*F7</f>
        <v>1277340</v>
      </c>
      <c r="I7" s="10">
        <f>D7*G7</f>
        <v>1306620</v>
      </c>
      <c r="J7" s="10">
        <f>I7-H7</f>
        <v>29280</v>
      </c>
      <c r="K7" s="10"/>
      <c r="L7" s="10"/>
      <c r="M7" s="10"/>
      <c r="N7" s="10"/>
      <c r="O7" s="10"/>
    </row>
    <row r="8" spans="1:15" s="4" customFormat="1" x14ac:dyDescent="0.35">
      <c r="A8" s="12"/>
      <c r="B8" s="12"/>
      <c r="C8" s="24"/>
      <c r="D8" s="12"/>
      <c r="E8" s="24"/>
      <c r="F8" s="12"/>
      <c r="G8" s="12"/>
      <c r="H8" s="12"/>
      <c r="I8" s="10"/>
      <c r="J8" s="10"/>
      <c r="K8" s="10"/>
      <c r="L8" s="10"/>
      <c r="M8" s="10"/>
      <c r="N8" s="10"/>
      <c r="O8" s="10"/>
    </row>
    <row r="9" spans="1:15" s="6" customFormat="1" ht="17.5" customHeight="1" x14ac:dyDescent="0.35">
      <c r="A9" s="56" t="s">
        <v>33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1:15" s="4" customFormat="1" x14ac:dyDescent="0.35">
      <c r="A10" s="9" t="s">
        <v>34</v>
      </c>
      <c r="B10" s="9" t="s">
        <v>11</v>
      </c>
      <c r="C10" s="22">
        <v>10</v>
      </c>
      <c r="D10" s="9">
        <v>80285</v>
      </c>
      <c r="E10" s="22">
        <f>H10/H10*100</f>
        <v>100</v>
      </c>
      <c r="F10" s="9">
        <v>30.55</v>
      </c>
      <c r="G10" s="9">
        <f>F10+2</f>
        <v>32.549999999999997</v>
      </c>
      <c r="H10" s="9">
        <f>D10*F10</f>
        <v>2452706.75</v>
      </c>
      <c r="I10" s="10">
        <f>D10*G10</f>
        <v>2613276.75</v>
      </c>
      <c r="J10" s="10">
        <f>I10-H10</f>
        <v>160570</v>
      </c>
      <c r="K10" s="10"/>
      <c r="L10" s="10"/>
      <c r="M10" s="10"/>
      <c r="N10" s="10"/>
      <c r="O10" s="10"/>
    </row>
    <row r="11" spans="1:15" s="4" customFormat="1" x14ac:dyDescent="0.35">
      <c r="A11" s="9"/>
      <c r="B11" s="9"/>
      <c r="C11" s="22"/>
      <c r="D11" s="9"/>
      <c r="E11" s="22"/>
      <c r="F11" s="9"/>
      <c r="G11" s="9"/>
      <c r="H11" s="9"/>
      <c r="I11" s="13"/>
      <c r="J11" s="13"/>
      <c r="K11" s="13"/>
      <c r="L11" s="13"/>
      <c r="M11" s="13"/>
      <c r="N11" s="13"/>
      <c r="O11" s="13"/>
    </row>
    <row r="12" spans="1:15" s="6" customFormat="1" ht="17.5" customHeight="1" x14ac:dyDescent="0.35">
      <c r="A12" s="56" t="s">
        <v>12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1:15" s="4" customFormat="1" x14ac:dyDescent="0.35">
      <c r="A13" s="12" t="s">
        <v>35</v>
      </c>
      <c r="B13" s="12" t="s">
        <v>12</v>
      </c>
      <c r="C13" s="24">
        <v>3.33</v>
      </c>
      <c r="D13" s="12">
        <v>4812</v>
      </c>
      <c r="E13" s="22">
        <f>H13/(SUM(H13:H15))*100</f>
        <v>54.682500159590056</v>
      </c>
      <c r="F13" s="12">
        <v>360</v>
      </c>
      <c r="G13" s="9">
        <f>F13+2</f>
        <v>362</v>
      </c>
      <c r="H13" s="12">
        <f>D13*F13</f>
        <v>1732320</v>
      </c>
      <c r="I13" s="10">
        <f>D13*G13</f>
        <v>1741944</v>
      </c>
      <c r="J13" s="10">
        <f>I13-H13</f>
        <v>9624</v>
      </c>
      <c r="K13" s="14"/>
      <c r="L13" s="14"/>
      <c r="M13" s="14"/>
      <c r="N13" s="14"/>
      <c r="O13" s="14"/>
    </row>
    <row r="14" spans="1:15" s="4" customFormat="1" x14ac:dyDescent="0.35">
      <c r="A14" s="9" t="s">
        <v>36</v>
      </c>
      <c r="B14" s="9" t="s">
        <v>12</v>
      </c>
      <c r="C14" s="22">
        <v>3.33</v>
      </c>
      <c r="D14" s="9">
        <v>195596</v>
      </c>
      <c r="E14" s="22">
        <f>H14/(SUM(H13:H15))*100</f>
        <v>25.869869355599196</v>
      </c>
      <c r="F14" s="9">
        <v>4.1900000000000004</v>
      </c>
      <c r="G14" s="9">
        <f>F14+2</f>
        <v>6.19</v>
      </c>
      <c r="H14" s="9">
        <f>D14*F14</f>
        <v>819547.24000000011</v>
      </c>
      <c r="I14" s="10">
        <f>D14*G14</f>
        <v>1210739.24</v>
      </c>
      <c r="J14" s="10">
        <f>I14-H14</f>
        <v>391191.99999999988</v>
      </c>
      <c r="K14" s="10"/>
      <c r="L14" s="10"/>
      <c r="M14" s="10"/>
      <c r="N14" s="10"/>
      <c r="O14" s="10"/>
    </row>
    <row r="15" spans="1:15" s="4" customFormat="1" x14ac:dyDescent="0.35">
      <c r="A15" s="12" t="s">
        <v>37</v>
      </c>
      <c r="B15" s="12" t="s">
        <v>12</v>
      </c>
      <c r="C15" s="24">
        <v>3.34</v>
      </c>
      <c r="D15" s="12">
        <v>47945</v>
      </c>
      <c r="E15" s="22">
        <f>H15/(SUM(H13:H15))*100</f>
        <v>19.447630484810748</v>
      </c>
      <c r="F15" s="12">
        <v>12.85</v>
      </c>
      <c r="G15" s="9">
        <f>F15+2</f>
        <v>14.85</v>
      </c>
      <c r="H15" s="12">
        <f>D15*F15</f>
        <v>616093.25</v>
      </c>
      <c r="I15" s="10">
        <f>D15*G15</f>
        <v>711983.25</v>
      </c>
      <c r="J15" s="10">
        <f>I15-H15</f>
        <v>95890</v>
      </c>
      <c r="K15" s="14"/>
      <c r="L15" s="14"/>
      <c r="M15" s="14"/>
      <c r="N15" s="14"/>
      <c r="O15" s="14"/>
    </row>
    <row r="16" spans="1:15" s="4" customFormat="1" x14ac:dyDescent="0.35">
      <c r="A16" s="12"/>
      <c r="B16" s="12"/>
      <c r="C16" s="24"/>
      <c r="D16" s="12"/>
      <c r="E16" s="24"/>
      <c r="F16" s="12"/>
      <c r="G16" s="12"/>
      <c r="H16" s="12"/>
      <c r="I16" s="14"/>
      <c r="J16" s="14"/>
      <c r="K16" s="14"/>
      <c r="L16" s="14"/>
      <c r="M16" s="14"/>
      <c r="N16" s="14"/>
      <c r="O16" s="14"/>
    </row>
    <row r="17" spans="1:15" s="6" customFormat="1" ht="17.5" customHeight="1" x14ac:dyDescent="0.35">
      <c r="A17" s="56" t="s">
        <v>13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 s="4" customFormat="1" x14ac:dyDescent="0.35">
      <c r="A18" s="9" t="s">
        <v>38</v>
      </c>
      <c r="B18" s="9" t="s">
        <v>13</v>
      </c>
      <c r="C18" s="22">
        <v>3.33</v>
      </c>
      <c r="D18" s="9">
        <v>99700</v>
      </c>
      <c r="E18" s="22">
        <f>H18/(SUM(H18:H20))*100</f>
        <v>28.545624114475547</v>
      </c>
      <c r="F18" s="9">
        <v>9.18</v>
      </c>
      <c r="G18" s="9">
        <f>F18+2</f>
        <v>11.18</v>
      </c>
      <c r="H18" s="9">
        <f>D18*F18</f>
        <v>915246</v>
      </c>
      <c r="I18" s="10">
        <f>D18*G18</f>
        <v>1114646</v>
      </c>
      <c r="J18" s="10">
        <f>I18-H18</f>
        <v>199400</v>
      </c>
      <c r="K18" s="10"/>
      <c r="L18" s="10"/>
      <c r="M18" s="10"/>
      <c r="N18" s="10"/>
      <c r="O18" s="10"/>
    </row>
    <row r="19" spans="1:15" s="3" customFormat="1" x14ac:dyDescent="0.35">
      <c r="A19" s="12" t="s">
        <v>39</v>
      </c>
      <c r="B19" s="12" t="s">
        <v>13</v>
      </c>
      <c r="C19" s="24">
        <v>3.33</v>
      </c>
      <c r="D19" s="12">
        <v>39705</v>
      </c>
      <c r="E19" s="22">
        <f>H19/(SUM(H18:H20))*100</f>
        <v>19.008825478496068</v>
      </c>
      <c r="F19" s="12">
        <v>15.35</v>
      </c>
      <c r="G19" s="9">
        <f>F19+2</f>
        <v>17.350000000000001</v>
      </c>
      <c r="H19" s="12">
        <f>D19*F19</f>
        <v>609471.75</v>
      </c>
      <c r="I19" s="14">
        <f>D19*G19</f>
        <v>688881.75</v>
      </c>
      <c r="J19" s="10">
        <f>I19-H19</f>
        <v>79410</v>
      </c>
      <c r="K19" s="14"/>
      <c r="L19" s="14"/>
      <c r="M19" s="14"/>
      <c r="N19" s="14"/>
      <c r="O19" s="14"/>
    </row>
    <row r="20" spans="1:15" s="4" customFormat="1" x14ac:dyDescent="0.35">
      <c r="A20" s="9" t="s">
        <v>40</v>
      </c>
      <c r="B20" s="9" t="s">
        <v>13</v>
      </c>
      <c r="C20" s="22">
        <v>3.34</v>
      </c>
      <c r="D20" s="9">
        <v>30298</v>
      </c>
      <c r="E20" s="22">
        <f t="shared" ref="E20" si="0">H20/(SUM(H18:H20))*100</f>
        <v>52.445550407028385</v>
      </c>
      <c r="F20" s="9">
        <v>55.5</v>
      </c>
      <c r="G20" s="9">
        <f>F20+2</f>
        <v>57.5</v>
      </c>
      <c r="H20" s="9">
        <f>D20*F20</f>
        <v>1681539</v>
      </c>
      <c r="I20" s="10">
        <f>D20*G20</f>
        <v>1742135</v>
      </c>
      <c r="J20" s="10">
        <f>I20-H20</f>
        <v>60596</v>
      </c>
      <c r="K20" s="10"/>
      <c r="L20" s="10"/>
      <c r="M20" s="10"/>
      <c r="N20" s="10"/>
      <c r="O20" s="10"/>
    </row>
    <row r="21" spans="1:15" s="3" customFormat="1" x14ac:dyDescent="0.35">
      <c r="A21" s="12"/>
      <c r="B21" s="12"/>
      <c r="C21" s="24"/>
      <c r="D21" s="12"/>
      <c r="E21" s="24"/>
      <c r="F21" s="12"/>
      <c r="G21" s="12"/>
      <c r="H21" s="12"/>
      <c r="I21" s="14"/>
      <c r="J21" s="14"/>
      <c r="K21" s="14"/>
      <c r="L21" s="14"/>
      <c r="M21" s="14"/>
      <c r="N21" s="14"/>
      <c r="O21" s="14"/>
    </row>
    <row r="22" spans="1:15" s="6" customFormat="1" ht="17.5" customHeight="1" x14ac:dyDescent="0.35">
      <c r="A22" s="56" t="s">
        <v>41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</row>
    <row r="23" spans="1:15" s="4" customFormat="1" x14ac:dyDescent="0.35">
      <c r="A23" s="9" t="s">
        <v>42</v>
      </c>
      <c r="B23" s="9" t="s">
        <v>43</v>
      </c>
      <c r="C23" s="22">
        <v>10</v>
      </c>
      <c r="D23" s="9">
        <v>50</v>
      </c>
      <c r="E23" s="22">
        <f>H23/(SUM(H23:H24))*100</f>
        <v>70.137657235765374</v>
      </c>
      <c r="F23" s="9">
        <v>52240</v>
      </c>
      <c r="G23" s="9">
        <f>F23+2</f>
        <v>52242</v>
      </c>
      <c r="H23" s="9">
        <f>D23*F23</f>
        <v>2612000</v>
      </c>
      <c r="I23" s="10">
        <f>D23*G23</f>
        <v>2612100</v>
      </c>
      <c r="J23" s="10">
        <f>I23-H23</f>
        <v>100</v>
      </c>
      <c r="K23" s="10"/>
      <c r="L23" s="10"/>
      <c r="M23" s="10"/>
      <c r="N23" s="10"/>
      <c r="O23" s="10"/>
    </row>
    <row r="24" spans="1:15" s="4" customFormat="1" x14ac:dyDescent="0.35">
      <c r="A24" s="12" t="s">
        <v>44</v>
      </c>
      <c r="B24" s="12" t="s">
        <v>43</v>
      </c>
      <c r="C24" s="24">
        <v>5</v>
      </c>
      <c r="D24" s="12">
        <v>97</v>
      </c>
      <c r="E24" s="22">
        <f>H24/(SUM(H23:H24))*100</f>
        <v>29.862342764234629</v>
      </c>
      <c r="F24" s="12">
        <v>11465</v>
      </c>
      <c r="G24" s="9">
        <f>F24+2</f>
        <v>11467</v>
      </c>
      <c r="H24" s="12">
        <f>D24*F24</f>
        <v>1112105</v>
      </c>
      <c r="I24" s="10">
        <f>D24*G24</f>
        <v>1112299</v>
      </c>
      <c r="J24" s="10">
        <f>I24-H24</f>
        <v>194</v>
      </c>
      <c r="K24" s="14"/>
      <c r="L24" s="14"/>
      <c r="M24" s="14"/>
      <c r="N24" s="14"/>
      <c r="O24" s="14"/>
    </row>
    <row r="25" spans="1:15" s="4" customFormat="1" x14ac:dyDescent="0.35">
      <c r="A25" s="12"/>
      <c r="B25" s="12"/>
      <c r="C25" s="24"/>
      <c r="D25" s="12"/>
      <c r="E25" s="24"/>
      <c r="F25" s="12"/>
      <c r="G25" s="12"/>
      <c r="H25" s="12"/>
      <c r="I25" s="14"/>
      <c r="J25" s="14"/>
      <c r="K25" s="14"/>
      <c r="L25" s="14"/>
      <c r="M25" s="14"/>
      <c r="N25" s="14"/>
      <c r="O25" s="14"/>
    </row>
    <row r="26" spans="1:15" s="6" customFormat="1" ht="17.5" customHeight="1" x14ac:dyDescent="0.35">
      <c r="A26" s="56" t="s">
        <v>45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5" s="4" customFormat="1" x14ac:dyDescent="0.35">
      <c r="A27" s="9" t="s">
        <v>6</v>
      </c>
      <c r="B27" s="9" t="s">
        <v>45</v>
      </c>
      <c r="C27" s="22">
        <v>30</v>
      </c>
      <c r="D27" s="9">
        <v>121</v>
      </c>
      <c r="E27" s="22">
        <f>D27/D27*100</f>
        <v>100</v>
      </c>
      <c r="F27" s="9">
        <v>50000</v>
      </c>
      <c r="G27" s="9">
        <f>F27</f>
        <v>50000</v>
      </c>
      <c r="H27" s="9">
        <f>D27*F27</f>
        <v>6050000</v>
      </c>
      <c r="I27" s="10"/>
      <c r="J27" s="10"/>
      <c r="K27" s="10"/>
      <c r="L27" s="10"/>
      <c r="M27" s="10"/>
      <c r="N27" s="10"/>
      <c r="O27" s="10"/>
    </row>
    <row r="28" spans="1:15" s="4" customFormat="1" x14ac:dyDescent="0.35">
      <c r="A28" s="9"/>
      <c r="B28" s="9"/>
      <c r="C28" s="22"/>
      <c r="D28" s="9"/>
      <c r="E28" s="22"/>
      <c r="F28" s="9"/>
      <c r="G28" s="9"/>
      <c r="H28" s="9"/>
      <c r="I28" s="10"/>
      <c r="J28" s="10"/>
      <c r="K28" s="10"/>
      <c r="L28" s="10"/>
      <c r="M28" s="10"/>
      <c r="N28" s="10"/>
      <c r="O28" s="10"/>
    </row>
    <row r="29" spans="1:15" s="6" customFormat="1" ht="17.5" customHeight="1" x14ac:dyDescent="0.35">
      <c r="A29" s="56" t="s">
        <v>46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s="4" customFormat="1" x14ac:dyDescent="0.35">
      <c r="A30" s="12" t="s">
        <v>47</v>
      </c>
      <c r="B30" s="12" t="s">
        <v>48</v>
      </c>
      <c r="C30" s="24">
        <v>5</v>
      </c>
      <c r="D30" s="12">
        <v>2</v>
      </c>
      <c r="E30" s="24">
        <f>D30/D30*100</f>
        <v>100</v>
      </c>
      <c r="F30" s="12">
        <v>1000000</v>
      </c>
      <c r="G30" s="12">
        <f>F30</f>
        <v>1000000</v>
      </c>
      <c r="H30" s="12">
        <f>D30*F30</f>
        <v>2000000</v>
      </c>
      <c r="I30" s="14"/>
      <c r="J30" s="14"/>
      <c r="K30" s="14"/>
      <c r="L30" s="14"/>
      <c r="M30" s="14"/>
      <c r="N30" s="14"/>
      <c r="O30" s="14"/>
    </row>
    <row r="31" spans="1:15" s="4" customFormat="1" x14ac:dyDescent="0.35">
      <c r="A31" s="9"/>
      <c r="B31" s="9"/>
      <c r="C31" s="22"/>
      <c r="D31" s="9"/>
      <c r="E31" s="22"/>
      <c r="F31" s="9"/>
      <c r="G31" s="9"/>
      <c r="H31" s="9"/>
      <c r="I31" s="10"/>
      <c r="J31" s="10"/>
      <c r="K31" s="10"/>
      <c r="L31" s="10"/>
      <c r="M31" s="10"/>
      <c r="N31" s="10"/>
      <c r="O31" s="10"/>
    </row>
    <row r="32" spans="1:15" s="3" customFormat="1" x14ac:dyDescent="0.35">
      <c r="A32" s="12"/>
      <c r="B32" s="12"/>
      <c r="C32" s="24"/>
      <c r="D32" s="12"/>
      <c r="E32" s="24"/>
      <c r="F32" s="12"/>
      <c r="G32" s="12"/>
      <c r="H32" s="12"/>
      <c r="I32" s="14"/>
      <c r="J32" s="14"/>
      <c r="K32" s="14"/>
      <c r="L32" s="14"/>
      <c r="M32" s="14"/>
      <c r="N32" s="14"/>
      <c r="O32" s="14"/>
    </row>
    <row r="33" spans="1:15" s="4" customFormat="1" ht="20" customHeight="1" x14ac:dyDescent="0.4">
      <c r="A33" s="60" t="s">
        <v>49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s="4" customFormat="1" ht="20" customHeight="1" x14ac:dyDescent="0.4">
      <c r="A34" s="16"/>
      <c r="B34" s="17" t="s">
        <v>20</v>
      </c>
      <c r="C34" s="31" t="s">
        <v>50</v>
      </c>
      <c r="D34" s="17" t="s">
        <v>51</v>
      </c>
      <c r="E34" s="58" t="s">
        <v>52</v>
      </c>
      <c r="F34" s="59"/>
      <c r="G34" s="59"/>
      <c r="H34" s="59"/>
      <c r="I34" s="59"/>
      <c r="J34" s="59"/>
      <c r="K34" s="59"/>
      <c r="L34" s="59"/>
      <c r="M34" s="59"/>
      <c r="N34" s="15"/>
      <c r="O34" s="15"/>
    </row>
    <row r="35" spans="1:15" s="4" customFormat="1" ht="15.5" customHeight="1" x14ac:dyDescent="0.35">
      <c r="A35" s="10"/>
      <c r="B35" s="18" t="s">
        <v>10</v>
      </c>
      <c r="C35" s="25">
        <f>SUM(H4:H7)</f>
        <v>4379490</v>
      </c>
      <c r="D35" s="25">
        <f>C35/C45*100</f>
        <v>17.531621347631578</v>
      </c>
      <c r="E35" s="25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3" customFormat="1" ht="15.5" customHeight="1" x14ac:dyDescent="0.35">
      <c r="A36" s="14"/>
      <c r="B36" s="19" t="s">
        <v>11</v>
      </c>
      <c r="C36" s="26">
        <f>H10</f>
        <v>2452706.75</v>
      </c>
      <c r="D36" s="25">
        <f>C36/C45*100</f>
        <v>9.8184779546888024</v>
      </c>
      <c r="E36" s="26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s="4" customFormat="1" ht="15.5" customHeight="1" x14ac:dyDescent="0.35">
      <c r="A37" s="10"/>
      <c r="B37" s="18" t="s">
        <v>12</v>
      </c>
      <c r="C37" s="25">
        <f>SUM(H13:H15)</f>
        <v>3167960.49</v>
      </c>
      <c r="D37" s="25">
        <f>C37/C45*100</f>
        <v>12.681724071738351</v>
      </c>
      <c r="E37" s="25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3" customFormat="1" ht="15.5" customHeight="1" x14ac:dyDescent="0.35">
      <c r="A38" s="14"/>
      <c r="B38" s="19" t="s">
        <v>13</v>
      </c>
      <c r="C38" s="26">
        <f>SUM(H18:H20)</f>
        <v>3206256.75</v>
      </c>
      <c r="D38" s="25">
        <f>C38/C45*100</f>
        <v>12.835028572799079</v>
      </c>
      <c r="E38" s="26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s="4" customFormat="1" ht="15.5" customHeight="1" x14ac:dyDescent="0.35">
      <c r="A39" s="10"/>
      <c r="B39" s="18" t="s">
        <v>41</v>
      </c>
      <c r="C39" s="25">
        <f>SUM(H23:H24)</f>
        <v>3724105</v>
      </c>
      <c r="D39" s="25">
        <f>C39/C45*100</f>
        <v>14.908036944671979</v>
      </c>
      <c r="E39" s="25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3" customFormat="1" ht="15.5" customHeight="1" x14ac:dyDescent="0.35">
      <c r="A40" s="14"/>
      <c r="B40" s="19" t="s">
        <v>45</v>
      </c>
      <c r="C40" s="26">
        <f>H27</f>
        <v>6050000</v>
      </c>
      <c r="D40" s="25">
        <f>C40/C45*100</f>
        <v>24.218872323757111</v>
      </c>
      <c r="E40" s="26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s="4" customFormat="1" ht="15.5" customHeight="1" x14ac:dyDescent="0.35">
      <c r="A41" s="10"/>
      <c r="B41" s="18" t="s">
        <v>46</v>
      </c>
      <c r="C41" s="25">
        <f>H30</f>
        <v>2000000</v>
      </c>
      <c r="D41" s="25">
        <f>C41/C45*100</f>
        <v>8.0062387847130942</v>
      </c>
      <c r="E41" s="25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3" customFormat="1" ht="15.5" customHeight="1" x14ac:dyDescent="0.35">
      <c r="A42" s="14"/>
      <c r="B42" s="19"/>
      <c r="C42" s="26"/>
      <c r="D42" s="19"/>
      <c r="E42" s="26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s="4" customFormat="1" ht="15.5" customHeight="1" x14ac:dyDescent="0.35">
      <c r="A43" s="10"/>
      <c r="B43" s="35" t="s">
        <v>9</v>
      </c>
      <c r="C43" s="36">
        <f>SUM(C35:C38)</f>
        <v>13206413.99</v>
      </c>
      <c r="D43" s="18"/>
      <c r="E43" s="25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3" customFormat="1" x14ac:dyDescent="0.35">
      <c r="A44" s="14"/>
      <c r="B44" s="14"/>
      <c r="C44" s="27"/>
      <c r="D44" s="14"/>
      <c r="E44" s="27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s="4" customFormat="1" ht="15.5" customHeight="1" x14ac:dyDescent="0.35">
      <c r="A45" s="10"/>
      <c r="B45" s="18" t="s">
        <v>53</v>
      </c>
      <c r="C45" s="25">
        <f>SUM(C35:C41)</f>
        <v>24980518.990000002</v>
      </c>
      <c r="D45" s="10"/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s="3" customFormat="1" x14ac:dyDescent="0.35">
      <c r="A46" s="14"/>
      <c r="B46" s="14"/>
      <c r="C46" s="27"/>
      <c r="D46" s="14"/>
      <c r="E46" s="27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5">
      <c r="A47" s="20"/>
      <c r="B47" s="20"/>
      <c r="C47" s="29"/>
      <c r="D47" s="20"/>
      <c r="E47" s="29"/>
      <c r="F47" s="20"/>
      <c r="G47" s="20"/>
      <c r="H47" s="20"/>
      <c r="I47" s="20"/>
      <c r="J47" s="20"/>
      <c r="K47" s="20"/>
      <c r="L47" s="20"/>
      <c r="M47" s="20"/>
      <c r="N47" s="20"/>
      <c r="O47" s="20"/>
    </row>
  </sheetData>
  <mergeCells count="10">
    <mergeCell ref="A1:O1"/>
    <mergeCell ref="A22:O22"/>
    <mergeCell ref="A17:O17"/>
    <mergeCell ref="E34:M34"/>
    <mergeCell ref="A3:O3"/>
    <mergeCell ref="A29:O29"/>
    <mergeCell ref="A12:O12"/>
    <mergeCell ref="A26:O26"/>
    <mergeCell ref="A33:O33"/>
    <mergeCell ref="A9:O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B5" sqref="B5"/>
    </sheetView>
  </sheetViews>
  <sheetFormatPr defaultRowHeight="14.5" x14ac:dyDescent="0.35"/>
  <cols>
    <col min="1" max="2" width="18" customWidth="1"/>
    <col min="3" max="3" width="27" bestFit="1" customWidth="1"/>
    <col min="4" max="4" width="10.1796875" bestFit="1" customWidth="1"/>
    <col min="5" max="5" width="20.81640625" bestFit="1" customWidth="1"/>
  </cols>
  <sheetData>
    <row r="1" spans="1:5" ht="17.5" customHeight="1" x14ac:dyDescent="0.35">
      <c r="A1" s="8" t="s">
        <v>54</v>
      </c>
      <c r="B1" s="8" t="s">
        <v>19</v>
      </c>
      <c r="C1" s="8" t="s">
        <v>55</v>
      </c>
      <c r="D1" s="8" t="s">
        <v>22</v>
      </c>
      <c r="E1" s="8" t="s">
        <v>56</v>
      </c>
    </row>
    <row r="2" spans="1:5" x14ac:dyDescent="0.35">
      <c r="A2" s="14"/>
      <c r="B2" s="14" t="s">
        <v>57</v>
      </c>
      <c r="C2" s="14"/>
      <c r="D2" s="14">
        <f>Holdings!D4</f>
        <v>34000</v>
      </c>
      <c r="E2" s="14"/>
    </row>
    <row r="3" spans="1:5" x14ac:dyDescent="0.35">
      <c r="A3" s="14"/>
      <c r="B3" s="14" t="s">
        <v>30</v>
      </c>
      <c r="C3" s="14"/>
      <c r="D3" s="14">
        <f>Holdings!D5</f>
        <v>10000</v>
      </c>
      <c r="E3" s="14"/>
    </row>
    <row r="4" spans="1:5" x14ac:dyDescent="0.35">
      <c r="A4" s="14"/>
      <c r="B4" s="14" t="s">
        <v>31</v>
      </c>
      <c r="C4" s="14"/>
      <c r="D4" s="14">
        <f>Holdings!D6</f>
        <v>19000</v>
      </c>
      <c r="E4" s="14"/>
    </row>
    <row r="5" spans="1:5" x14ac:dyDescent="0.35">
      <c r="A5" s="14"/>
      <c r="B5" s="14" t="s">
        <v>32</v>
      </c>
      <c r="C5" s="14"/>
      <c r="D5" s="14">
        <f>Holdings!D7</f>
        <v>14640</v>
      </c>
      <c r="E5" s="14"/>
    </row>
    <row r="6" spans="1:5" x14ac:dyDescent="0.35">
      <c r="A6" s="14"/>
      <c r="B6" s="14" t="s">
        <v>34</v>
      </c>
      <c r="C6" s="14"/>
      <c r="D6" s="14">
        <f>Holdings!D10</f>
        <v>80285</v>
      </c>
      <c r="E6" s="14"/>
    </row>
    <row r="7" spans="1:5" x14ac:dyDescent="0.35">
      <c r="A7" s="14"/>
      <c r="B7" s="14" t="s">
        <v>35</v>
      </c>
      <c r="C7" s="14"/>
      <c r="D7" s="14">
        <f>Holdings!D13</f>
        <v>4812</v>
      </c>
      <c r="E7" s="14"/>
    </row>
    <row r="8" spans="1:5" x14ac:dyDescent="0.35">
      <c r="A8" s="14"/>
      <c r="B8" s="14" t="s">
        <v>36</v>
      </c>
      <c r="C8" s="14"/>
      <c r="D8" s="14">
        <f>Holdings!D14</f>
        <v>195596</v>
      </c>
      <c r="E8" s="14"/>
    </row>
    <row r="9" spans="1:5" x14ac:dyDescent="0.35">
      <c r="A9" s="14"/>
      <c r="B9" s="14" t="s">
        <v>58</v>
      </c>
      <c r="C9" s="14"/>
      <c r="D9" s="14">
        <f>Holdings!D15</f>
        <v>47945</v>
      </c>
      <c r="E9" s="14"/>
    </row>
    <row r="10" spans="1:5" x14ac:dyDescent="0.35">
      <c r="A10" s="14"/>
      <c r="B10" s="14" t="s">
        <v>38</v>
      </c>
      <c r="C10" s="14"/>
      <c r="D10" s="14">
        <f>Holdings!D18</f>
        <v>99700</v>
      </c>
      <c r="E10" s="14"/>
    </row>
    <row r="11" spans="1:5" x14ac:dyDescent="0.35">
      <c r="A11" s="14"/>
      <c r="B11" s="14" t="s">
        <v>59</v>
      </c>
      <c r="C11" s="14"/>
      <c r="D11" s="14">
        <f>Holdings!D19</f>
        <v>39705</v>
      </c>
      <c r="E11" s="14"/>
    </row>
    <row r="12" spans="1:5" x14ac:dyDescent="0.35">
      <c r="A12" s="14"/>
      <c r="B12" s="14" t="s">
        <v>60</v>
      </c>
      <c r="C12" s="14"/>
      <c r="D12" s="14">
        <f>Holdings!D20</f>
        <v>30298</v>
      </c>
      <c r="E12" s="14"/>
    </row>
    <row r="13" spans="1:5" x14ac:dyDescent="0.35">
      <c r="A13" s="14"/>
      <c r="B13" s="14" t="s">
        <v>61</v>
      </c>
      <c r="C13" s="14"/>
      <c r="D13" s="14">
        <f>Holdings!D23</f>
        <v>50</v>
      </c>
      <c r="E13" s="14"/>
    </row>
    <row r="14" spans="1:5" x14ac:dyDescent="0.35">
      <c r="A14" s="14"/>
      <c r="B14" s="14" t="s">
        <v>44</v>
      </c>
      <c r="C14" s="14"/>
      <c r="D14" s="14">
        <f>Holdings!D24</f>
        <v>97</v>
      </c>
      <c r="E14" s="14"/>
    </row>
    <row r="15" spans="1:5" x14ac:dyDescent="0.35">
      <c r="A15" s="14"/>
      <c r="B15" s="14"/>
      <c r="C15" s="14"/>
      <c r="D15" s="14"/>
      <c r="E15" s="14"/>
    </row>
    <row r="16" spans="1:5" x14ac:dyDescent="0.35">
      <c r="A16" s="14"/>
      <c r="B16" s="14"/>
      <c r="C16" s="14"/>
      <c r="D16" s="14"/>
      <c r="E16" s="14"/>
    </row>
    <row r="17" spans="1:5" x14ac:dyDescent="0.35">
      <c r="A17" s="14"/>
      <c r="B17" s="14"/>
      <c r="C17" s="14"/>
      <c r="D17" s="14"/>
      <c r="E17" s="14"/>
    </row>
    <row r="18" spans="1:5" x14ac:dyDescent="0.35">
      <c r="A18" s="14"/>
      <c r="B18" s="14"/>
      <c r="C18" s="14"/>
      <c r="D18" s="14"/>
      <c r="E18" s="14"/>
    </row>
    <row r="19" spans="1:5" x14ac:dyDescent="0.35">
      <c r="A19" s="14"/>
      <c r="B19" s="14"/>
      <c r="C19" s="14"/>
      <c r="D19" s="14"/>
      <c r="E19" s="14"/>
    </row>
    <row r="20" spans="1:5" x14ac:dyDescent="0.35">
      <c r="A20" s="14"/>
      <c r="B20" s="14"/>
      <c r="C20" s="14"/>
      <c r="D20" s="14"/>
      <c r="E20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5:B32"/>
  <sheetViews>
    <sheetView workbookViewId="0"/>
  </sheetViews>
  <sheetFormatPr defaultRowHeight="14.5" x14ac:dyDescent="0.35"/>
  <sheetData>
    <row r="25" spans="1:2" x14ac:dyDescent="0.35">
      <c r="A25" t="s">
        <v>20</v>
      </c>
      <c r="B25" t="s">
        <v>62</v>
      </c>
    </row>
    <row r="26" spans="1:2" x14ac:dyDescent="0.35">
      <c r="A26" t="s">
        <v>10</v>
      </c>
      <c r="B26">
        <v>22.623430735769151</v>
      </c>
    </row>
    <row r="27" spans="1:2" x14ac:dyDescent="0.35">
      <c r="A27" t="s">
        <v>48</v>
      </c>
      <c r="B27">
        <v>0</v>
      </c>
    </row>
    <row r="28" spans="1:2" x14ac:dyDescent="0.35">
      <c r="A28" t="s">
        <v>43</v>
      </c>
      <c r="B28">
        <v>19.118726125497059</v>
      </c>
    </row>
    <row r="29" spans="1:2" x14ac:dyDescent="0.35">
      <c r="A29" t="s">
        <v>13</v>
      </c>
      <c r="B29">
        <v>11.10385982733133</v>
      </c>
    </row>
    <row r="30" spans="1:2" x14ac:dyDescent="0.35">
      <c r="A30" t="s">
        <v>45</v>
      </c>
      <c r="B30">
        <v>0</v>
      </c>
    </row>
    <row r="31" spans="1:2" x14ac:dyDescent="0.35">
      <c r="A31" t="s">
        <v>12</v>
      </c>
      <c r="B31">
        <v>16.308517246964168</v>
      </c>
    </row>
    <row r="32" spans="1:2" x14ac:dyDescent="0.35">
      <c r="A32" t="s">
        <v>11</v>
      </c>
      <c r="B32">
        <v>16.68427221176329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Holdings</vt:lpstr>
      <vt:lpstr>Dividend Tracking</vt:lpstr>
      <vt:lpstr>Dashboard1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lawrenceowini17@gmail.com</cp:lastModifiedBy>
  <dcterms:created xsi:type="dcterms:W3CDTF">2026-05-30T19:37:10Z</dcterms:created>
  <dcterms:modified xsi:type="dcterms:W3CDTF">2026-05-31T18:28:11Z</dcterms:modified>
</cp:coreProperties>
</file>